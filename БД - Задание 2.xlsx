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Школа\Рабочий стол\"/>
    </mc:Choice>
  </mc:AlternateContent>
  <bookViews>
    <workbookView xWindow="0" yWindow="0" windowWidth="16380" windowHeight="8196" tabRatio="500"/>
  </bookViews>
  <sheets>
    <sheet name="БД - Задание 2" sheetId="1" r:id="rId1"/>
    <sheet name="Рефлексия" sheetId="3" r:id="rId2"/>
  </sheets>
  <definedNames>
    <definedName name="_xlnm._FilterDatabase" localSheetId="0" hidden="1">'БД - Задание 2'!$A$4:$I$41</definedName>
    <definedName name="_xlnm.Print_Titles" localSheetId="0">'БД - Задание 2'!$4:$4</definedName>
    <definedName name="_xlnm.Criteria" localSheetId="0">'БД - Задание 2'!$A$45:$H$45</definedName>
    <definedName name="_xlnm.Print_Area" localSheetId="0">'БД - Задание 2'!$A$1:$I$41</definedName>
    <definedName name="_xlnm.Print_Area" localSheetId="1">Рефлексия!$A$1:$C$16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9" i="1" l="1"/>
  <c r="M49" i="1"/>
  <c r="L49" i="1"/>
  <c r="K49" i="1"/>
  <c r="J49" i="1"/>
  <c r="I49" i="1"/>
  <c r="H49" i="1"/>
  <c r="G49" i="1"/>
  <c r="F49" i="1"/>
  <c r="E49" i="1"/>
  <c r="D49" i="1"/>
  <c r="B49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H2" i="1"/>
</calcChain>
</file>

<file path=xl/sharedStrings.xml><?xml version="1.0" encoding="utf-8"?>
<sst xmlns="http://schemas.openxmlformats.org/spreadsheetml/2006/main" count="237" uniqueCount="117">
  <si>
    <t>План работы образовательного учреждения</t>
  </si>
  <si>
    <t>МБОУ СОШ № 1 г. Краснодара</t>
  </si>
  <si>
    <t>Дата подготовки отчёта:</t>
  </si>
  <si>
    <t>№</t>
  </si>
  <si>
    <t>Тип мероприятия</t>
  </si>
  <si>
    <t>Название мероприятия</t>
  </si>
  <si>
    <t>Начало</t>
  </si>
  <si>
    <t>Окончание</t>
  </si>
  <si>
    <t>Ответственный (ФИО)</t>
  </si>
  <si>
    <t>Телефон</t>
  </si>
  <si>
    <t>Место проведения</t>
  </si>
  <si>
    <t>Статус</t>
  </si>
  <si>
    <t>Нормативы</t>
  </si>
  <si>
    <t>Сдача ГТО</t>
  </si>
  <si>
    <t>Александров А. А.</t>
  </si>
  <si>
    <t>+7-900-111-22-33</t>
  </si>
  <si>
    <t>Стадион «Спартак»</t>
  </si>
  <si>
    <t>Кубановедение</t>
  </si>
  <si>
    <t>Урок «История Кубани»</t>
  </si>
  <si>
    <t>Петрова И. С.</t>
  </si>
  <si>
    <t>+7-900-222-33-44</t>
  </si>
  <si>
    <t>Кабинет 204</t>
  </si>
  <si>
    <t>ЕГЭ</t>
  </si>
  <si>
    <t>Консультация по математике</t>
  </si>
  <si>
    <t>Сидоров В. П.</t>
  </si>
  <si>
    <t>+7-900-333-44-55</t>
  </si>
  <si>
    <t>Кабинет 310</t>
  </si>
  <si>
    <t>Воспитательная работа</t>
  </si>
  <si>
    <t>Классный час «Дружба»</t>
  </si>
  <si>
    <t>Иванова Е. Н.</t>
  </si>
  <si>
    <t>+7-900-444-55-66</t>
  </si>
  <si>
    <t>Кабинет 105</t>
  </si>
  <si>
    <t>Экскурсия в краеведческий музей</t>
  </si>
  <si>
    <t>Краеведческий музей</t>
  </si>
  <si>
    <t>Пробный экзамен по русскому языку</t>
  </si>
  <si>
    <t>Кузнецова О. Л.</t>
  </si>
  <si>
    <t>+7-900-555-66-77</t>
  </si>
  <si>
    <t>Профориентация</t>
  </si>
  <si>
    <t>Встреча с представителями вузов</t>
  </si>
  <si>
    <t>Смирнов Д. А.</t>
  </si>
  <si>
    <t>+7-900-666-77-88</t>
  </si>
  <si>
    <t>Актовый зал</t>
  </si>
  <si>
    <t>Сдача норм ГТО (зимний этап)</t>
  </si>
  <si>
    <t>Спортзал школы</t>
  </si>
  <si>
    <t>Родительское собрание</t>
  </si>
  <si>
    <t>Общешкольное собрание</t>
  </si>
  <si>
    <t>Олимпиада</t>
  </si>
  <si>
    <t>Школьный этап олимпиады по физике</t>
  </si>
  <si>
    <t>Конкурс «Моя малая Родина»</t>
  </si>
  <si>
    <t>Консультация по обществознанию</t>
  </si>
  <si>
    <t>Кабинет 212</t>
  </si>
  <si>
    <t>Субботник на территории школы</t>
  </si>
  <si>
    <t>Территория школы</t>
  </si>
  <si>
    <t>Сдача норм ГТО (весенний этап)</t>
  </si>
  <si>
    <t>Культура</t>
  </si>
  <si>
    <t>Праздник «День Победы»</t>
  </si>
  <si>
    <t>Фестиваль кубанской культуры</t>
  </si>
  <si>
    <t>Школьный двор</t>
  </si>
  <si>
    <t>Итоговое собеседование 9 класс</t>
  </si>
  <si>
    <t>Спорт</t>
  </si>
  <si>
    <t>Школьная спартакиада</t>
  </si>
  <si>
    <t>Единый государственный экзамен — русский язык</t>
  </si>
  <si>
    <t>Пункт проведения ЕГЭ № 12</t>
  </si>
  <si>
    <t>Единый государственный экзамен — математика</t>
  </si>
  <si>
    <t>Выпускной вечер 11 класс</t>
  </si>
  <si>
    <t>Летняя профориентационная практика</t>
  </si>
  <si>
    <t>Предприятия города</t>
  </si>
  <si>
    <t>Летний пришкольный лагерь: тема Кубани</t>
  </si>
  <si>
    <t>Школьный лагерь</t>
  </si>
  <si>
    <t>Подготовка школы к учебному году</t>
  </si>
  <si>
    <t>День знаний</t>
  </si>
  <si>
    <t>Сдача норм ГТО (осенний этап)</t>
  </si>
  <si>
    <t>Собрание для родителей 1-х классов</t>
  </si>
  <si>
    <t>Кабинет 101</t>
  </si>
  <si>
    <t>Диагностическая работа 11 класс</t>
  </si>
  <si>
    <t>Муниципальный этап олимпиады</t>
  </si>
  <si>
    <t>Гимназия № 3</t>
  </si>
  <si>
    <t>Викторина «Казачьи традиции»</t>
  </si>
  <si>
    <t>Классный час «Безопасность в сети»</t>
  </si>
  <si>
    <t>Консультация по информатике</t>
  </si>
  <si>
    <t>День открытых дверей КубГУ</t>
  </si>
  <si>
    <t>КубГУ</t>
  </si>
  <si>
    <t>Концерт ко Дню учителя</t>
  </si>
  <si>
    <t>Классный час «Толерантность»</t>
  </si>
  <si>
    <t>Контрольная сдача ГТО</t>
  </si>
  <si>
    <t>Новогодний утренник</t>
  </si>
  <si>
    <t>ГТО</t>
  </si>
  <si>
    <t>&gt;=01.10.2026</t>
  </si>
  <si>
    <t>Статистика мероприятий по месяцам (2026 г.)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</si>
  <si>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</si>
  <si>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</si>
  <si>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</si>
  <si>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</si>
  <si>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</si>
  <si>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</si>
  <si>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</si>
  <si>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</si>
  <si>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</si>
  <si>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</si>
  <si>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</si>
  <si>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</si>
  <si>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Тренд</t>
  </si>
  <si>
    <t>Кол-во</t>
  </si>
  <si>
    <t>РЕФЛЕКСИЯ</t>
  </si>
  <si>
    <t>Что нужно было знать / уметь</t>
  </si>
  <si>
    <t>Знал(а) / Не знал(а) до этого</t>
  </si>
  <si>
    <t>Проектирование структуры БД в MS Excel (поля, типы данных)</t>
  </si>
  <si>
    <t>Сортировка по одному и нескольким уровням</t>
  </si>
  <si>
    <t>Автофильтр и пользовательский (расширенный) фильтр</t>
  </si>
  <si>
    <t>Условное форматирование по формуле (сравнение дат с СЕГОДНЯ)</t>
  </si>
  <si>
    <t>Настройка верхнего и нижнего колонтитула для печати</t>
  </si>
  <si>
    <t>Настройка области печати и сквозных строк заголовка</t>
  </si>
  <si>
    <t>Спарклайны для визуализации динамики мероприятий</t>
  </si>
  <si>
    <t>Подготовка «твёрдой копии» отчёта для вышестоящих инстанций</t>
  </si>
  <si>
    <t>Ответственный за предоставление: Гулевич Эмилия</t>
  </si>
  <si>
    <t>Функция СЧЁТЕСЛИМН</t>
  </si>
  <si>
    <t>Диапазон критериев (расширенный фильтр)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</si>
</sst>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0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00000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000000"/>
      <name val="Arial"/>
      <charset val="1"/>
    </font>
    <font>
      <b/>
      <i/>
      <sz val="9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showGridLines="0" tabSelected="1" zoomScaleNormal="100" workbookViewId="0">
      <pane ySplit="4" topLeftCell="A5" activePane="bottomLeft" state="frozen"/>
      <selection pane="bottomLeft" activeCell="D17" sqref="D17"/>
    </sheetView>
  </sheetViews>
  <sheetFormatPr defaultColWidth="8.6640625" defaultRowHeight="14.4" x14ac:dyDescent="0.3"/>
  <cols>
    <col min="1" max="1" width="6.77734375" style="2" customWidth="1"/>
    <col min="2" max="2" width="23.88671875" style="2" bestFit="1" customWidth="1"/>
    <col min="3" max="3" width="49.33203125" style="2" bestFit="1" customWidth="1"/>
    <col min="4" max="4" width="12.6640625" style="2" bestFit="1" customWidth="1"/>
    <col min="5" max="5" width="15.109375" style="2" bestFit="1" customWidth="1"/>
    <col min="6" max="6" width="21.44140625" style="2" bestFit="1" customWidth="1"/>
    <col min="7" max="7" width="23" style="2" bestFit="1" customWidth="1"/>
    <col min="8" max="8" width="28.44140625" style="2" bestFit="1" customWidth="1"/>
    <col min="9" max="9" width="15.77734375" style="2" bestFit="1" customWidth="1"/>
    <col min="10" max="14" width="8.6640625" style="1"/>
    <col min="15" max="15" width="16" style="2" customWidth="1"/>
    <col min="16" max="16384" width="8.6640625" style="1"/>
  </cols>
  <sheetData>
    <row r="1" spans="1:9" ht="21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" customHeight="1" x14ac:dyDescent="0.3">
      <c r="A2" s="21" t="s">
        <v>1</v>
      </c>
      <c r="B2" s="21"/>
      <c r="C2" s="21"/>
      <c r="D2" s="22" t="s">
        <v>114</v>
      </c>
      <c r="E2" s="22"/>
      <c r="F2" s="22"/>
      <c r="G2" s="3" t="s">
        <v>2</v>
      </c>
      <c r="H2" s="4">
        <f ca="1">TODAY()</f>
        <v>46297</v>
      </c>
    </row>
    <row r="4" spans="1:9" ht="30" customHeight="1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</row>
    <row r="5" spans="1:9" ht="15" customHeight="1" x14ac:dyDescent="0.3">
      <c r="A5" s="6">
        <v>1</v>
      </c>
      <c r="B5" s="7" t="s">
        <v>12</v>
      </c>
      <c r="C5" s="7" t="s">
        <v>13</v>
      </c>
      <c r="D5" s="8">
        <v>46298</v>
      </c>
      <c r="E5" s="8">
        <v>46298</v>
      </c>
      <c r="F5" s="7" t="s">
        <v>14</v>
      </c>
      <c r="G5" s="6" t="s">
        <v>15</v>
      </c>
      <c r="H5" s="7" t="s">
        <v>16</v>
      </c>
      <c r="I5" s="6" t="str">
        <f t="shared" ref="I5:I41" ca="1" si="0">IF(E5&lt;TODAY(),"Завершено",IF(D5-TODAY()&lt;=3,"Скоро","Запланировано"))</f>
        <v>Скоро</v>
      </c>
    </row>
    <row r="6" spans="1:9" ht="15" customHeight="1" x14ac:dyDescent="0.3">
      <c r="A6" s="6">
        <v>2</v>
      </c>
      <c r="B6" s="7" t="s">
        <v>17</v>
      </c>
      <c r="C6" s="7" t="s">
        <v>18</v>
      </c>
      <c r="D6" s="8">
        <v>46037</v>
      </c>
      <c r="E6" s="8">
        <v>46037</v>
      </c>
      <c r="F6" s="7" t="s">
        <v>19</v>
      </c>
      <c r="G6" s="6" t="s">
        <v>20</v>
      </c>
      <c r="H6" s="7" t="s">
        <v>21</v>
      </c>
      <c r="I6" s="6" t="str">
        <f t="shared" ca="1" si="0"/>
        <v>Завершено</v>
      </c>
    </row>
    <row r="7" spans="1:9" ht="15" customHeight="1" x14ac:dyDescent="0.3">
      <c r="A7" s="6">
        <v>3</v>
      </c>
      <c r="B7" s="7" t="s">
        <v>22</v>
      </c>
      <c r="C7" s="7" t="s">
        <v>23</v>
      </c>
      <c r="D7" s="8">
        <v>46042</v>
      </c>
      <c r="E7" s="8">
        <v>46042</v>
      </c>
      <c r="F7" s="7" t="s">
        <v>24</v>
      </c>
      <c r="G7" s="6" t="s">
        <v>25</v>
      </c>
      <c r="H7" s="7" t="s">
        <v>26</v>
      </c>
      <c r="I7" s="6" t="str">
        <f t="shared" ca="1" si="0"/>
        <v>Завершено</v>
      </c>
    </row>
    <row r="8" spans="1:9" ht="15" customHeight="1" x14ac:dyDescent="0.3">
      <c r="A8" s="6">
        <v>4</v>
      </c>
      <c r="B8" s="7" t="s">
        <v>27</v>
      </c>
      <c r="C8" s="7" t="s">
        <v>28</v>
      </c>
      <c r="D8" s="8">
        <v>46056</v>
      </c>
      <c r="E8" s="8">
        <v>46056</v>
      </c>
      <c r="F8" s="7" t="s">
        <v>29</v>
      </c>
      <c r="G8" s="6" t="s">
        <v>30</v>
      </c>
      <c r="H8" s="7" t="s">
        <v>31</v>
      </c>
      <c r="I8" s="6" t="str">
        <f t="shared" ca="1" si="0"/>
        <v>Завершено</v>
      </c>
    </row>
    <row r="9" spans="1:9" ht="15" customHeight="1" x14ac:dyDescent="0.3">
      <c r="A9" s="6">
        <v>5</v>
      </c>
      <c r="B9" s="7" t="s">
        <v>17</v>
      </c>
      <c r="C9" s="7" t="s">
        <v>32</v>
      </c>
      <c r="D9" s="8">
        <v>46063</v>
      </c>
      <c r="E9" s="8">
        <v>46063</v>
      </c>
      <c r="F9" s="7" t="s">
        <v>19</v>
      </c>
      <c r="G9" s="6" t="s">
        <v>20</v>
      </c>
      <c r="H9" s="7" t="s">
        <v>33</v>
      </c>
      <c r="I9" s="6" t="str">
        <f t="shared" ca="1" si="0"/>
        <v>Завершено</v>
      </c>
    </row>
    <row r="10" spans="1:9" ht="15" customHeight="1" x14ac:dyDescent="0.3">
      <c r="A10" s="6">
        <v>6</v>
      </c>
      <c r="B10" s="7" t="s">
        <v>22</v>
      </c>
      <c r="C10" s="7" t="s">
        <v>34</v>
      </c>
      <c r="D10" s="8">
        <v>46071</v>
      </c>
      <c r="E10" s="8">
        <v>46071</v>
      </c>
      <c r="F10" s="7" t="s">
        <v>35</v>
      </c>
      <c r="G10" s="6" t="s">
        <v>36</v>
      </c>
      <c r="H10" s="7" t="s">
        <v>26</v>
      </c>
      <c r="I10" s="6" t="str">
        <f t="shared" ca="1" si="0"/>
        <v>Завершено</v>
      </c>
    </row>
    <row r="11" spans="1:9" ht="15" customHeight="1" x14ac:dyDescent="0.3">
      <c r="A11" s="6">
        <v>7</v>
      </c>
      <c r="B11" s="7" t="s">
        <v>37</v>
      </c>
      <c r="C11" s="7" t="s">
        <v>38</v>
      </c>
      <c r="D11" s="8">
        <v>46078</v>
      </c>
      <c r="E11" s="8">
        <v>46078</v>
      </c>
      <c r="F11" s="7" t="s">
        <v>39</v>
      </c>
      <c r="G11" s="6" t="s">
        <v>40</v>
      </c>
      <c r="H11" s="7" t="s">
        <v>41</v>
      </c>
      <c r="I11" s="6" t="str">
        <f t="shared" ca="1" si="0"/>
        <v>Завершено</v>
      </c>
    </row>
    <row r="12" spans="1:9" ht="15" customHeight="1" x14ac:dyDescent="0.3">
      <c r="A12" s="6">
        <v>8</v>
      </c>
      <c r="B12" s="7" t="s">
        <v>12</v>
      </c>
      <c r="C12" s="7" t="s">
        <v>42</v>
      </c>
      <c r="D12" s="8">
        <v>46083</v>
      </c>
      <c r="E12" s="8">
        <v>46085</v>
      </c>
      <c r="F12" s="7" t="s">
        <v>14</v>
      </c>
      <c r="G12" s="6" t="s">
        <v>15</v>
      </c>
      <c r="H12" s="7" t="s">
        <v>43</v>
      </c>
      <c r="I12" s="6" t="str">
        <f t="shared" ca="1" si="0"/>
        <v>Завершено</v>
      </c>
    </row>
    <row r="13" spans="1:9" ht="15" customHeight="1" x14ac:dyDescent="0.3">
      <c r="A13" s="6">
        <v>9</v>
      </c>
      <c r="B13" s="7" t="s">
        <v>44</v>
      </c>
      <c r="C13" s="7" t="s">
        <v>45</v>
      </c>
      <c r="D13" s="8">
        <v>46093</v>
      </c>
      <c r="E13" s="8">
        <v>46093</v>
      </c>
      <c r="F13" s="7" t="s">
        <v>29</v>
      </c>
      <c r="G13" s="6" t="s">
        <v>30</v>
      </c>
      <c r="H13" s="7" t="s">
        <v>41</v>
      </c>
      <c r="I13" s="6" t="str">
        <f t="shared" ca="1" si="0"/>
        <v>Завершено</v>
      </c>
    </row>
    <row r="14" spans="1:9" ht="15" customHeight="1" x14ac:dyDescent="0.3">
      <c r="A14" s="6">
        <v>10</v>
      </c>
      <c r="B14" s="7" t="s">
        <v>46</v>
      </c>
      <c r="C14" s="7" t="s">
        <v>47</v>
      </c>
      <c r="D14" s="8">
        <v>46101</v>
      </c>
      <c r="E14" s="8">
        <v>46101</v>
      </c>
      <c r="F14" s="7" t="s">
        <v>24</v>
      </c>
      <c r="G14" s="6" t="s">
        <v>25</v>
      </c>
      <c r="H14" s="7" t="s">
        <v>26</v>
      </c>
      <c r="I14" s="6" t="str">
        <f t="shared" ca="1" si="0"/>
        <v>Завершено</v>
      </c>
    </row>
    <row r="15" spans="1:9" ht="15" customHeight="1" x14ac:dyDescent="0.3">
      <c r="A15" s="6">
        <v>11</v>
      </c>
      <c r="B15" s="7" t="s">
        <v>17</v>
      </c>
      <c r="C15" s="7" t="s">
        <v>48</v>
      </c>
      <c r="D15" s="8">
        <v>46117</v>
      </c>
      <c r="E15" s="8">
        <v>46117</v>
      </c>
      <c r="F15" s="7" t="s">
        <v>19</v>
      </c>
      <c r="G15" s="6" t="s">
        <v>20</v>
      </c>
      <c r="H15" s="7" t="s">
        <v>41</v>
      </c>
      <c r="I15" s="6" t="str">
        <f t="shared" ca="1" si="0"/>
        <v>Завершено</v>
      </c>
    </row>
    <row r="16" spans="1:9" ht="15" customHeight="1" x14ac:dyDescent="0.3">
      <c r="A16" s="6">
        <v>12</v>
      </c>
      <c r="B16" s="7" t="s">
        <v>22</v>
      </c>
      <c r="C16" s="7" t="s">
        <v>49</v>
      </c>
      <c r="D16" s="8">
        <v>46126</v>
      </c>
      <c r="E16" s="8">
        <v>46126</v>
      </c>
      <c r="F16" s="7" t="s">
        <v>35</v>
      </c>
      <c r="G16" s="6" t="s">
        <v>36</v>
      </c>
      <c r="H16" s="7" t="s">
        <v>50</v>
      </c>
      <c r="I16" s="6" t="str">
        <f t="shared" ca="1" si="0"/>
        <v>Завершено</v>
      </c>
    </row>
    <row r="17" spans="1:9" ht="15" customHeight="1" x14ac:dyDescent="0.3">
      <c r="A17" s="6">
        <v>13</v>
      </c>
      <c r="B17" s="7" t="s">
        <v>27</v>
      </c>
      <c r="C17" s="7" t="s">
        <v>51</v>
      </c>
      <c r="D17" s="8">
        <v>46134</v>
      </c>
      <c r="E17" s="8">
        <v>46134</v>
      </c>
      <c r="F17" s="7" t="s">
        <v>39</v>
      </c>
      <c r="G17" s="6" t="s">
        <v>40</v>
      </c>
      <c r="H17" s="7" t="s">
        <v>52</v>
      </c>
      <c r="I17" s="6" t="str">
        <f t="shared" ca="1" si="0"/>
        <v>Завершено</v>
      </c>
    </row>
    <row r="18" spans="1:9" ht="15" customHeight="1" x14ac:dyDescent="0.3">
      <c r="A18" s="6">
        <v>14</v>
      </c>
      <c r="B18" s="7" t="s">
        <v>12</v>
      </c>
      <c r="C18" s="7" t="s">
        <v>53</v>
      </c>
      <c r="D18" s="8">
        <v>46148</v>
      </c>
      <c r="E18" s="8">
        <v>46150</v>
      </c>
      <c r="F18" s="7" t="s">
        <v>14</v>
      </c>
      <c r="G18" s="6" t="s">
        <v>15</v>
      </c>
      <c r="H18" s="7" t="s">
        <v>16</v>
      </c>
      <c r="I18" s="6" t="str">
        <f t="shared" ca="1" si="0"/>
        <v>Завершено</v>
      </c>
    </row>
    <row r="19" spans="1:9" ht="15" customHeight="1" x14ac:dyDescent="0.3">
      <c r="A19" s="6">
        <v>15</v>
      </c>
      <c r="B19" s="7" t="s">
        <v>54</v>
      </c>
      <c r="C19" s="7" t="s">
        <v>55</v>
      </c>
      <c r="D19" s="8">
        <v>46151</v>
      </c>
      <c r="E19" s="8">
        <v>46151</v>
      </c>
      <c r="F19" s="7" t="s">
        <v>29</v>
      </c>
      <c r="G19" s="6" t="s">
        <v>30</v>
      </c>
      <c r="H19" s="7" t="s">
        <v>41</v>
      </c>
      <c r="I19" s="6" t="str">
        <f t="shared" ca="1" si="0"/>
        <v>Завершено</v>
      </c>
    </row>
    <row r="20" spans="1:9" ht="15" customHeight="1" x14ac:dyDescent="0.3">
      <c r="A20" s="6">
        <v>16</v>
      </c>
      <c r="B20" s="7" t="s">
        <v>17</v>
      </c>
      <c r="C20" s="7" t="s">
        <v>56</v>
      </c>
      <c r="D20" s="8">
        <v>46157</v>
      </c>
      <c r="E20" s="8">
        <v>46157</v>
      </c>
      <c r="F20" s="7" t="s">
        <v>19</v>
      </c>
      <c r="G20" s="6" t="s">
        <v>20</v>
      </c>
      <c r="H20" s="7" t="s">
        <v>57</v>
      </c>
      <c r="I20" s="6" t="str">
        <f t="shared" ca="1" si="0"/>
        <v>Завершено</v>
      </c>
    </row>
    <row r="21" spans="1:9" ht="15" customHeight="1" x14ac:dyDescent="0.3">
      <c r="A21" s="6">
        <v>17</v>
      </c>
      <c r="B21" s="7" t="s">
        <v>22</v>
      </c>
      <c r="C21" s="7" t="s">
        <v>58</v>
      </c>
      <c r="D21" s="8">
        <v>46162</v>
      </c>
      <c r="E21" s="8">
        <v>46162</v>
      </c>
      <c r="F21" s="7" t="s">
        <v>24</v>
      </c>
      <c r="G21" s="6" t="s">
        <v>25</v>
      </c>
      <c r="H21" s="7" t="s">
        <v>26</v>
      </c>
      <c r="I21" s="6" t="str">
        <f t="shared" ca="1" si="0"/>
        <v>Завершено</v>
      </c>
    </row>
    <row r="22" spans="1:9" ht="15" customHeight="1" x14ac:dyDescent="0.3">
      <c r="A22" s="6">
        <v>18</v>
      </c>
      <c r="B22" s="7" t="s">
        <v>59</v>
      </c>
      <c r="C22" s="7" t="s">
        <v>60</v>
      </c>
      <c r="D22" s="8">
        <v>46174</v>
      </c>
      <c r="E22" s="8">
        <v>46175</v>
      </c>
      <c r="F22" s="7" t="s">
        <v>14</v>
      </c>
      <c r="G22" s="6" t="s">
        <v>15</v>
      </c>
      <c r="H22" s="7" t="s">
        <v>16</v>
      </c>
      <c r="I22" s="6" t="str">
        <f t="shared" ca="1" si="0"/>
        <v>Завершено</v>
      </c>
    </row>
    <row r="23" spans="1:9" ht="15" customHeight="1" x14ac:dyDescent="0.3">
      <c r="A23" s="6">
        <v>19</v>
      </c>
      <c r="B23" s="7" t="s">
        <v>22</v>
      </c>
      <c r="C23" s="7" t="s">
        <v>61</v>
      </c>
      <c r="D23" s="8">
        <v>46178</v>
      </c>
      <c r="E23" s="8">
        <v>46178</v>
      </c>
      <c r="F23" s="7" t="s">
        <v>35</v>
      </c>
      <c r="G23" s="6" t="s">
        <v>36</v>
      </c>
      <c r="H23" s="7" t="s">
        <v>62</v>
      </c>
      <c r="I23" s="6" t="str">
        <f t="shared" ca="1" si="0"/>
        <v>Завершено</v>
      </c>
    </row>
    <row r="24" spans="1:9" ht="15" customHeight="1" x14ac:dyDescent="0.3">
      <c r="A24" s="6">
        <v>20</v>
      </c>
      <c r="B24" s="7" t="s">
        <v>22</v>
      </c>
      <c r="C24" s="7" t="s">
        <v>63</v>
      </c>
      <c r="D24" s="8">
        <v>46182</v>
      </c>
      <c r="E24" s="8">
        <v>46182</v>
      </c>
      <c r="F24" s="7" t="s">
        <v>35</v>
      </c>
      <c r="G24" s="6" t="s">
        <v>36</v>
      </c>
      <c r="H24" s="7" t="s">
        <v>62</v>
      </c>
      <c r="I24" s="6" t="str">
        <f t="shared" ca="1" si="0"/>
        <v>Завершено</v>
      </c>
    </row>
    <row r="25" spans="1:9" ht="15" customHeight="1" x14ac:dyDescent="0.3">
      <c r="A25" s="6">
        <v>21</v>
      </c>
      <c r="B25" s="7" t="s">
        <v>27</v>
      </c>
      <c r="C25" s="7" t="s">
        <v>64</v>
      </c>
      <c r="D25" s="8">
        <v>46198</v>
      </c>
      <c r="E25" s="8">
        <v>46198</v>
      </c>
      <c r="F25" s="7" t="s">
        <v>29</v>
      </c>
      <c r="G25" s="6" t="s">
        <v>30</v>
      </c>
      <c r="H25" s="7" t="s">
        <v>41</v>
      </c>
      <c r="I25" s="6" t="str">
        <f t="shared" ca="1" si="0"/>
        <v>Завершено</v>
      </c>
    </row>
    <row r="26" spans="1:9" ht="15" customHeight="1" x14ac:dyDescent="0.3">
      <c r="A26" s="6">
        <v>22</v>
      </c>
      <c r="B26" s="7" t="s">
        <v>37</v>
      </c>
      <c r="C26" s="7" t="s">
        <v>65</v>
      </c>
      <c r="D26" s="8">
        <v>46213</v>
      </c>
      <c r="E26" s="8">
        <v>46223</v>
      </c>
      <c r="F26" s="7" t="s">
        <v>39</v>
      </c>
      <c r="G26" s="6" t="s">
        <v>40</v>
      </c>
      <c r="H26" s="7" t="s">
        <v>66</v>
      </c>
      <c r="I26" s="6" t="str">
        <f t="shared" ca="1" si="0"/>
        <v>Завершено</v>
      </c>
    </row>
    <row r="27" spans="1:9" ht="15" customHeight="1" x14ac:dyDescent="0.3">
      <c r="A27" s="6">
        <v>23</v>
      </c>
      <c r="B27" s="7" t="s">
        <v>17</v>
      </c>
      <c r="C27" s="7" t="s">
        <v>67</v>
      </c>
      <c r="D27" s="8">
        <v>46237</v>
      </c>
      <c r="E27" s="8">
        <v>46241</v>
      </c>
      <c r="F27" s="7" t="s">
        <v>19</v>
      </c>
      <c r="G27" s="6" t="s">
        <v>20</v>
      </c>
      <c r="H27" s="7" t="s">
        <v>68</v>
      </c>
      <c r="I27" s="6" t="str">
        <f t="shared" ca="1" si="0"/>
        <v>Завершено</v>
      </c>
    </row>
    <row r="28" spans="1:9" ht="15" customHeight="1" x14ac:dyDescent="0.3">
      <c r="A28" s="6">
        <v>24</v>
      </c>
      <c r="B28" s="7" t="s">
        <v>27</v>
      </c>
      <c r="C28" s="7" t="s">
        <v>69</v>
      </c>
      <c r="D28" s="8">
        <v>46259</v>
      </c>
      <c r="E28" s="8">
        <v>46262</v>
      </c>
      <c r="F28" s="7" t="s">
        <v>39</v>
      </c>
      <c r="G28" s="6" t="s">
        <v>40</v>
      </c>
      <c r="H28" s="7" t="s">
        <v>52</v>
      </c>
      <c r="I28" s="6" t="str">
        <f t="shared" ca="1" si="0"/>
        <v>Завершено</v>
      </c>
    </row>
    <row r="29" spans="1:9" ht="15" customHeight="1" x14ac:dyDescent="0.3">
      <c r="A29" s="6">
        <v>25</v>
      </c>
      <c r="B29" s="7" t="s">
        <v>27</v>
      </c>
      <c r="C29" s="7" t="s">
        <v>70</v>
      </c>
      <c r="D29" s="8">
        <v>46266</v>
      </c>
      <c r="E29" s="8">
        <v>46266</v>
      </c>
      <c r="F29" s="7" t="s">
        <v>29</v>
      </c>
      <c r="G29" s="6" t="s">
        <v>30</v>
      </c>
      <c r="H29" s="7" t="s">
        <v>57</v>
      </c>
      <c r="I29" s="6" t="str">
        <f t="shared" ca="1" si="0"/>
        <v>Завершено</v>
      </c>
    </row>
    <row r="30" spans="1:9" ht="15" customHeight="1" x14ac:dyDescent="0.3">
      <c r="A30" s="6">
        <v>26</v>
      </c>
      <c r="B30" s="7" t="s">
        <v>12</v>
      </c>
      <c r="C30" s="7" t="s">
        <v>71</v>
      </c>
      <c r="D30" s="8">
        <v>46275</v>
      </c>
      <c r="E30" s="8">
        <v>46277</v>
      </c>
      <c r="F30" s="7" t="s">
        <v>14</v>
      </c>
      <c r="G30" s="6" t="s">
        <v>15</v>
      </c>
      <c r="H30" s="7" t="s">
        <v>16</v>
      </c>
      <c r="I30" s="6" t="str">
        <f t="shared" ca="1" si="0"/>
        <v>Завершено</v>
      </c>
    </row>
    <row r="31" spans="1:9" ht="15" customHeight="1" x14ac:dyDescent="0.3">
      <c r="A31" s="6">
        <v>27</v>
      </c>
      <c r="B31" s="7" t="s">
        <v>44</v>
      </c>
      <c r="C31" s="7" t="s">
        <v>72</v>
      </c>
      <c r="D31" s="8">
        <v>46283</v>
      </c>
      <c r="E31" s="8">
        <v>46283</v>
      </c>
      <c r="F31" s="7" t="s">
        <v>29</v>
      </c>
      <c r="G31" s="6" t="s">
        <v>30</v>
      </c>
      <c r="H31" s="7" t="s">
        <v>73</v>
      </c>
      <c r="I31" s="6" t="str">
        <f t="shared" ca="1" si="0"/>
        <v>Завершено</v>
      </c>
    </row>
    <row r="32" spans="1:9" ht="15" customHeight="1" x14ac:dyDescent="0.3">
      <c r="A32" s="6">
        <v>28</v>
      </c>
      <c r="B32" s="7" t="s">
        <v>22</v>
      </c>
      <c r="C32" s="7" t="s">
        <v>74</v>
      </c>
      <c r="D32" s="8">
        <v>46290</v>
      </c>
      <c r="E32" s="8">
        <v>46290</v>
      </c>
      <c r="F32" s="7" t="s">
        <v>24</v>
      </c>
      <c r="G32" s="6" t="s">
        <v>25</v>
      </c>
      <c r="H32" s="7" t="s">
        <v>26</v>
      </c>
      <c r="I32" s="6" t="str">
        <f t="shared" ca="1" si="0"/>
        <v>Завершено</v>
      </c>
    </row>
    <row r="33" spans="1:15" ht="15" customHeight="1" x14ac:dyDescent="0.3">
      <c r="A33" s="6">
        <v>29</v>
      </c>
      <c r="B33" s="7" t="s">
        <v>46</v>
      </c>
      <c r="C33" s="7" t="s">
        <v>75</v>
      </c>
      <c r="D33" s="8">
        <v>46298</v>
      </c>
      <c r="E33" s="8">
        <v>46298</v>
      </c>
      <c r="F33" s="7" t="s">
        <v>24</v>
      </c>
      <c r="G33" s="6" t="s">
        <v>25</v>
      </c>
      <c r="H33" s="7" t="s">
        <v>76</v>
      </c>
      <c r="I33" s="6" t="str">
        <f t="shared" ca="1" si="0"/>
        <v>Скоро</v>
      </c>
    </row>
    <row r="34" spans="1:15" ht="15" customHeight="1" x14ac:dyDescent="0.3">
      <c r="A34" s="6">
        <v>30</v>
      </c>
      <c r="B34" s="7" t="s">
        <v>17</v>
      </c>
      <c r="C34" s="7" t="s">
        <v>77</v>
      </c>
      <c r="D34" s="8">
        <v>46299</v>
      </c>
      <c r="E34" s="8">
        <v>46299</v>
      </c>
      <c r="F34" s="7" t="s">
        <v>19</v>
      </c>
      <c r="G34" s="6" t="s">
        <v>20</v>
      </c>
      <c r="H34" s="7" t="s">
        <v>21</v>
      </c>
      <c r="I34" s="6" t="str">
        <f t="shared" ca="1" si="0"/>
        <v>Скоро</v>
      </c>
    </row>
    <row r="35" spans="1:15" ht="15" customHeight="1" x14ac:dyDescent="0.3">
      <c r="A35" s="6">
        <v>31</v>
      </c>
      <c r="B35" s="7" t="s">
        <v>27</v>
      </c>
      <c r="C35" s="7" t="s">
        <v>78</v>
      </c>
      <c r="D35" s="8">
        <v>46300</v>
      </c>
      <c r="E35" s="8">
        <v>46300</v>
      </c>
      <c r="F35" s="7" t="s">
        <v>29</v>
      </c>
      <c r="G35" s="6" t="s">
        <v>30</v>
      </c>
      <c r="H35" s="7" t="s">
        <v>31</v>
      </c>
      <c r="I35" s="6" t="str">
        <f t="shared" ca="1" si="0"/>
        <v>Скоро</v>
      </c>
    </row>
    <row r="36" spans="1:15" ht="15" customHeight="1" x14ac:dyDescent="0.3">
      <c r="A36" s="6">
        <v>32</v>
      </c>
      <c r="B36" s="7" t="s">
        <v>22</v>
      </c>
      <c r="C36" s="7" t="s">
        <v>79</v>
      </c>
      <c r="D36" s="8">
        <v>46311</v>
      </c>
      <c r="E36" s="8">
        <v>46311</v>
      </c>
      <c r="F36" s="7" t="s">
        <v>35</v>
      </c>
      <c r="G36" s="6" t="s">
        <v>36</v>
      </c>
      <c r="H36" s="7" t="s">
        <v>50</v>
      </c>
      <c r="I36" s="6" t="str">
        <f t="shared" ca="1" si="0"/>
        <v>Запланировано</v>
      </c>
    </row>
    <row r="37" spans="1:15" ht="15" customHeight="1" x14ac:dyDescent="0.3">
      <c r="A37" s="6">
        <v>33</v>
      </c>
      <c r="B37" s="7" t="s">
        <v>37</v>
      </c>
      <c r="C37" s="7" t="s">
        <v>80</v>
      </c>
      <c r="D37" s="8">
        <v>46317</v>
      </c>
      <c r="E37" s="8">
        <v>46317</v>
      </c>
      <c r="F37" s="7" t="s">
        <v>39</v>
      </c>
      <c r="G37" s="6" t="s">
        <v>40</v>
      </c>
      <c r="H37" s="7" t="s">
        <v>81</v>
      </c>
      <c r="I37" s="6" t="str">
        <f t="shared" ca="1" si="0"/>
        <v>Запланировано</v>
      </c>
    </row>
    <row r="38" spans="1:15" ht="15" customHeight="1" x14ac:dyDescent="0.3">
      <c r="A38" s="6">
        <v>34</v>
      </c>
      <c r="B38" s="7" t="s">
        <v>54</v>
      </c>
      <c r="C38" s="7" t="s">
        <v>82</v>
      </c>
      <c r="D38" s="8">
        <v>46300</v>
      </c>
      <c r="E38" s="8">
        <v>46300</v>
      </c>
      <c r="F38" s="7" t="s">
        <v>29</v>
      </c>
      <c r="G38" s="6" t="s">
        <v>30</v>
      </c>
      <c r="H38" s="7" t="s">
        <v>41</v>
      </c>
      <c r="I38" s="6" t="str">
        <f t="shared" ca="1" si="0"/>
        <v>Скоро</v>
      </c>
    </row>
    <row r="39" spans="1:15" ht="15" customHeight="1" x14ac:dyDescent="0.3">
      <c r="A39" s="6">
        <v>35</v>
      </c>
      <c r="B39" s="7" t="s">
        <v>27</v>
      </c>
      <c r="C39" s="7" t="s">
        <v>83</v>
      </c>
      <c r="D39" s="8">
        <v>46338</v>
      </c>
      <c r="E39" s="8">
        <v>46338</v>
      </c>
      <c r="F39" s="7" t="s">
        <v>29</v>
      </c>
      <c r="G39" s="6" t="s">
        <v>30</v>
      </c>
      <c r="H39" s="7" t="s">
        <v>31</v>
      </c>
      <c r="I39" s="6" t="str">
        <f t="shared" ca="1" si="0"/>
        <v>Запланировано</v>
      </c>
    </row>
    <row r="40" spans="1:15" ht="15" customHeight="1" x14ac:dyDescent="0.3">
      <c r="A40" s="6">
        <v>36</v>
      </c>
      <c r="B40" s="7" t="s">
        <v>12</v>
      </c>
      <c r="C40" s="7" t="s">
        <v>84</v>
      </c>
      <c r="D40" s="8">
        <v>46346</v>
      </c>
      <c r="E40" s="8">
        <v>46347</v>
      </c>
      <c r="F40" s="7" t="s">
        <v>14</v>
      </c>
      <c r="G40" s="6" t="s">
        <v>15</v>
      </c>
      <c r="H40" s="7" t="s">
        <v>43</v>
      </c>
      <c r="I40" s="6" t="str">
        <f t="shared" ca="1" si="0"/>
        <v>Запланировано</v>
      </c>
    </row>
    <row r="41" spans="1:15" ht="15" customHeight="1" x14ac:dyDescent="0.3">
      <c r="A41" s="6">
        <v>37</v>
      </c>
      <c r="B41" s="7" t="s">
        <v>54</v>
      </c>
      <c r="C41" s="7" t="s">
        <v>85</v>
      </c>
      <c r="D41" s="8">
        <v>46381</v>
      </c>
      <c r="E41" s="8">
        <v>46381</v>
      </c>
      <c r="F41" s="7" t="s">
        <v>29</v>
      </c>
      <c r="G41" s="6" t="s">
        <v>30</v>
      </c>
      <c r="H41" s="7" t="s">
        <v>41</v>
      </c>
      <c r="I41" s="6" t="str">
        <f t="shared" ca="1" si="0"/>
        <v>Запланировано</v>
      </c>
    </row>
    <row r="43" spans="1:15" ht="15" customHeight="1" x14ac:dyDescent="0.3">
      <c r="A43" s="9" t="s">
        <v>116</v>
      </c>
    </row>
    <row r="44" spans="1:15" ht="15" customHeight="1" x14ac:dyDescent="0.3">
      <c r="A44" s="10" t="s">
        <v>3</v>
      </c>
      <c r="B44" s="10" t="s">
        <v>4</v>
      </c>
      <c r="C44" s="10" t="s">
        <v>5</v>
      </c>
      <c r="D44" s="10" t="s">
        <v>6</v>
      </c>
      <c r="E44" s="10" t="s">
        <v>7</v>
      </c>
      <c r="F44" s="10" t="s">
        <v>8</v>
      </c>
      <c r="G44" s="10" t="s">
        <v>9</v>
      </c>
      <c r="H44" s="10" t="s">
        <v>10</v>
      </c>
    </row>
    <row r="45" spans="1:15" ht="15" customHeight="1" x14ac:dyDescent="0.3">
      <c r="B45" s="11" t="s">
        <v>86</v>
      </c>
      <c r="D45" s="11" t="s">
        <v>87</v>
      </c>
    </row>
    <row r="47" spans="1:15" ht="15" customHeight="1" x14ac:dyDescent="0.3">
      <c r="A47" s="12" t="s">
        <v>88</v>
      </c>
    </row>
    <row r="48" spans="1:15" ht="15" customHeight="1" x14ac:dyDescent="0.3">
      <c r="B48" s="10" t="s">
        <v>89</v>
      </c>
      <c r="C48" s="10" t="s">
        <v>90</v>
      </c>
      <c r="D48" s="10" t="s">
        <v>91</v>
      </c>
      <c r="E48" s="10" t="s">
        <v>92</v>
      </c>
      <c r="F48" s="10" t="s">
        <v>93</v>
      </c>
      <c r="G48" s="10" t="s">
        <v>94</v>
      </c>
      <c r="H48" s="10" t="s">
        <v>95</v>
      </c>
      <c r="I48" s="10" t="s">
        <v>96</v>
      </c>
      <c r="J48" s="10" t="s">
        <v>97</v>
      </c>
      <c r="K48" s="10" t="s">
        <v>98</v>
      </c>
      <c r="L48" s="10" t="s">
        <v>99</v>
      </c>
      <c r="M48" s="10" t="s">
        <v>100</v>
      </c>
      <c r="O48" s="10" t="s">
        <v>101</v>
      </c>
    </row>
    <row r="49" spans="1:15" ht="30" customHeight="1" x14ac:dyDescent="0.3">
      <c r="A49" s="13" t="s">
        <v>102</v>
      </c>
      <c r="B49" s="11">
        <f>COUNTIFS($D$5:$D$41,"&gt;="&amp;DATE(2026,1,1),$D$5:$D$41,"&lt;"&amp;DATE(2026,1+1,1))</f>
        <v>2</v>
      </c>
      <c r="C49" s="11">
        <f>COUNTIFS($D$5:$D$41,"&gt;="&amp;DATE(2026,2,1),$D$5:$D$41,"&lt;"&amp;DATE(2026,2+1,1))</f>
        <v>4</v>
      </c>
      <c r="D49" s="11">
        <f>COUNTIFS($D$5:$D$41,"&gt;="&amp;DATE(2026,3,1),$D$5:$D$41,"&lt;"&amp;DATE(2026,3+1,1))</f>
        <v>3</v>
      </c>
      <c r="E49" s="11">
        <f>COUNTIFS($D$5:$D$41,"&gt;="&amp;DATE(2026,4,1),$D$5:$D$41,"&lt;"&amp;DATE(2026,4+1,1))</f>
        <v>3</v>
      </c>
      <c r="F49" s="11">
        <f>COUNTIFS($D$5:$D$41,"&gt;="&amp;DATE(2026,5,1),$D$5:$D$41,"&lt;"&amp;DATE(2026,5+1,1))</f>
        <v>4</v>
      </c>
      <c r="G49" s="11">
        <f>COUNTIFS($D$5:$D$41,"&gt;="&amp;DATE(2026,6,1),$D$5:$D$41,"&lt;"&amp;DATE(2026,6+1,1))</f>
        <v>4</v>
      </c>
      <c r="H49" s="11">
        <f>COUNTIFS($D$5:$D$41,"&gt;="&amp;DATE(2026,7,1),$D$5:$D$41,"&lt;"&amp;DATE(2026,7+1,1))</f>
        <v>1</v>
      </c>
      <c r="I49" s="11">
        <f>COUNTIFS($D$5:$D$41,"&gt;="&amp;DATE(2026,8,1),$D$5:$D$41,"&lt;"&amp;DATE(2026,8+1,1))</f>
        <v>2</v>
      </c>
      <c r="J49" s="11">
        <f>COUNTIFS($D$5:$D$41,"&gt;="&amp;DATE(2026,9,1),$D$5:$D$41,"&lt;"&amp;DATE(2026,9+1,1))</f>
        <v>4</v>
      </c>
      <c r="K49" s="11">
        <f>COUNTIFS($D$5:$D$41,"&gt;="&amp;DATE(2026,10,1),$D$5:$D$41,"&lt;"&amp;DATE(2026,10+1,1))</f>
        <v>7</v>
      </c>
      <c r="L49" s="11">
        <f>COUNTIFS($D$5:$D$41,"&gt;="&amp;DATE(2026,11,1),$D$5:$D$41,"&lt;"&amp;DATE(2026,11+1,1))</f>
        <v>2</v>
      </c>
      <c r="M49" s="11">
        <f>COUNTIFS($D$5:$D$41,"&gt;="&amp;DATE(2026,12,1),$D$5:$D$41,"&lt;"&amp;DATE(2026,12+1,1))</f>
        <v>1</v>
      </c>
      <c r="O49" s="14"/>
    </row>
  </sheetData>
  <mergeCells count="3">
    <mergeCell ref="A1:I1"/>
    <mergeCell ref="A2:C2"/>
    <mergeCell ref="D2:F2"/>
  </mergeCells>
  <conditionalFormatting sqref="A5:I41">
    <cfRule type="expression" dxfId="1" priority="2">
      <formula>$E5&lt;TODAY()</formula>
    </cfRule>
    <cfRule type="expression" dxfId="0" priority="3">
      <formula>AND($D5-TODAY()&gt;=0,$D5-TODAY()&lt;=3)</formula>
    </cfRule>
  </conditionalFormatting>
  <pageMargins left="0.74803149606299213" right="0.74803149606299213" top="0.98425196850393704" bottom="0.98425196850393704" header="0.51181102362204722" footer="0.51181102362204722"/>
  <pageSetup scale="61" fitToHeight="0" orientation="landscape" horizontalDpi="300" verticalDpi="300" r:id="rId1"/>
  <headerFooter>
    <oddHeader>&amp;L&amp;"Arial,Bold"МБОУ СОШ № 1 г. Краснодара&amp;C&amp;"Arial,Bold"План работы ОУ&amp;RДата: &amp;D</oddHeader>
    <oddFooter>&amp;LОтветственный: Гулевич Эмилия, тел. +7-900-111-22-33&amp;RСтр. &amp;P из &amp;N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/>
          <x14:sparklines>
            <x14:sparkline>
              <xm:f>'БД - Задание 2'!B49:M49</xm:f>
              <xm:sqref>O49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showGridLines="0" zoomScaleNormal="100" workbookViewId="0">
      <selection activeCell="E13" sqref="E13"/>
    </sheetView>
  </sheetViews>
  <sheetFormatPr defaultColWidth="8.6640625" defaultRowHeight="14.4" x14ac:dyDescent="0.3"/>
  <cols>
    <col min="1" max="1" width="4" style="2" customWidth="1"/>
    <col min="2" max="2" width="67.21875" style="2" bestFit="1" customWidth="1"/>
    <col min="3" max="3" width="29.6640625" style="2" bestFit="1" customWidth="1"/>
    <col min="4" max="16384" width="8.6640625" style="1"/>
  </cols>
  <sheetData>
    <row r="1" spans="1:3" ht="17.25" customHeight="1" x14ac:dyDescent="0.3">
      <c r="A1" s="20" t="s">
        <v>103</v>
      </c>
      <c r="B1" s="20"/>
      <c r="C1" s="20"/>
    </row>
    <row r="4" spans="1:3" ht="15" customHeight="1" x14ac:dyDescent="0.3">
      <c r="A4" s="15" t="s">
        <v>3</v>
      </c>
      <c r="B4" s="16" t="s">
        <v>104</v>
      </c>
      <c r="C4" s="16" t="s">
        <v>105</v>
      </c>
    </row>
    <row r="5" spans="1:3" ht="15" customHeight="1" x14ac:dyDescent="0.3">
      <c r="A5" s="6">
        <v>1</v>
      </c>
      <c r="B5" s="7" t="s">
        <v>106</v>
      </c>
      <c r="C5" s="19"/>
    </row>
    <row r="6" spans="1:3" ht="15" customHeight="1" x14ac:dyDescent="0.3">
      <c r="A6" s="6">
        <v>2</v>
      </c>
      <c r="B6" s="7" t="s">
        <v>107</v>
      </c>
      <c r="C6" s="18"/>
    </row>
    <row r="7" spans="1:3" ht="15" customHeight="1" x14ac:dyDescent="0.3">
      <c r="A7" s="6">
        <v>3</v>
      </c>
      <c r="B7" s="7" t="s">
        <v>108</v>
      </c>
      <c r="C7" s="18"/>
    </row>
    <row r="8" spans="1:3" ht="15" customHeight="1" x14ac:dyDescent="0.3">
      <c r="A8" s="6">
        <v>4</v>
      </c>
      <c r="B8" s="7" t="s">
        <v>115</v>
      </c>
      <c r="C8" s="18"/>
    </row>
    <row r="9" spans="1:3" ht="15" customHeight="1" x14ac:dyDescent="0.3">
      <c r="A9" s="6">
        <v>5</v>
      </c>
      <c r="B9" s="7" t="s">
        <v>109</v>
      </c>
      <c r="C9" s="19"/>
    </row>
    <row r="10" spans="1:3" ht="15" customHeight="1" x14ac:dyDescent="0.3">
      <c r="A10" s="6">
        <v>6</v>
      </c>
      <c r="B10" s="7" t="s">
        <v>110</v>
      </c>
      <c r="C10" s="19"/>
    </row>
    <row r="11" spans="1:3" ht="15" customHeight="1" x14ac:dyDescent="0.3">
      <c r="A11" s="6">
        <v>7</v>
      </c>
      <c r="B11" s="7" t="s">
        <v>111</v>
      </c>
      <c r="C11" s="19"/>
    </row>
    <row r="12" spans="1:3" ht="15" customHeight="1" x14ac:dyDescent="0.3">
      <c r="A12" s="6">
        <v>8</v>
      </c>
      <c r="B12" s="7" t="s">
        <v>112</v>
      </c>
      <c r="C12" s="19"/>
    </row>
    <row r="13" spans="1:3" ht="15" customHeight="1" x14ac:dyDescent="0.3">
      <c r="A13" s="6">
        <v>9</v>
      </c>
      <c r="B13" s="7" t="s">
        <v>113</v>
      </c>
      <c r="C13" s="19"/>
    </row>
    <row r="15" spans="1:3" ht="15" customHeight="1" x14ac:dyDescent="0.3">
      <c r="A15" s="17"/>
    </row>
  </sheetData>
  <mergeCells count="1">
    <mergeCell ref="A1:C1"/>
  </mergeCells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БД - Задание 2</vt:lpstr>
      <vt:lpstr>Рефлексия</vt:lpstr>
      <vt:lpstr>'БД - Задание 2'!Заголовки_для_печати</vt:lpstr>
      <vt:lpstr>'БД - Задание 2'!Критерии</vt:lpstr>
      <vt:lpstr>'БД - Задание 2'!Область_печати</vt:lpstr>
      <vt:lpstr>Рефлексия!Область_печати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cp:lastPrinted>2026-10-02T18:09:19Z</cp:lastPrinted>
  <dcterms:created xsi:type="dcterms:W3CDTF">2026-10-02T10:54:12Z</dcterms:created>
  <dcterms:modified xsi:type="dcterms:W3CDTF">2026-10-02T18:16:49Z</dcterms:modified>
  <dc:language>en-US</dc:language>
</cp:coreProperties>
</file>