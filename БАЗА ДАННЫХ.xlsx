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6380" windowHeight="8196" tabRatio="500" firstSheet="0" activeTab="0" autoFilterDateGrouping="1"/>
  </bookViews>
  <sheets>
    <sheet xmlns:r="http://schemas.openxmlformats.org/officeDocument/2006/relationships" name="БД - Задание 2" sheetId="1" state="visible" r:id="rId1"/>
    <sheet xmlns:r="http://schemas.openxmlformats.org/officeDocument/2006/relationships" name="Отчёт" sheetId="2" state="visible" r:id="rId2"/>
    <sheet xmlns:r="http://schemas.openxmlformats.org/officeDocument/2006/relationships" name="Примеры фильтрации" sheetId="3" state="visible" r:id="rId3"/>
    <sheet xmlns:r="http://schemas.openxmlformats.org/officeDocument/2006/relationships" name="Методическая разработка" sheetId="4" state="visible" r:id="rId4"/>
    <sheet xmlns:r="http://schemas.openxmlformats.org/officeDocument/2006/relationships" name="Справочники" sheetId="5" state="visible" r:id="rId5"/>
    <sheet xmlns:r="http://schemas.openxmlformats.org/officeDocument/2006/relationships" name="Рефлексия" sheetId="6" state="visible" r:id="rId6"/>
  </sheets>
  <definedNames>
    <definedName name="_xlnm._FilterDatabase" localSheetId="0" hidden="1">'БД - Задание 2'!$A$4:$I$42</definedName>
    <definedName name="_xlnm.Print_Titles" localSheetId="0">'БД - Задание 2'!$1:$4</definedName>
    <definedName name="_xlnm.Print_Area" localSheetId="0">'БД - Задание 2'!$A$1:$I$42</definedName>
    <definedName name="_xlnm.Print_Area" localSheetId="1">'Отчёт'!$A$1:$F$39</definedName>
    <definedName name="_xlnm.Print_Area" localSheetId="5">'Рефлексия'!$A$1:$C$16</definedName>
  </definedNames>
  <calcPr calcId="152511" calcMode="auto" fullCalcOnLoad="1" iterateDelta="0.0001" forceFullCalc="1"/>
</workbook>
</file>

<file path=xl/styles.xml><?xml version="1.0" encoding="utf-8"?>
<styleSheet xmlns="http://schemas.openxmlformats.org/spreadsheetml/2006/main">
  <numFmts count="3">
    <numFmt numFmtId="164" formatCode="dd\.mm\.yyyy"/>
    <numFmt numFmtId="165" formatCode="yyyy-mm-dd h:mm:ss"/>
    <numFmt numFmtId="166" formatCode="dd.mm.yyyy"/>
  </numFmts>
  <fonts count="15">
    <font>
      <name val="Calibri"/>
      <charset val="1"/>
      <family val="2"/>
      <color theme="1"/>
      <sz val="11"/>
    </font>
    <font>
      <name val="Arial"/>
      <charset val="1"/>
      <b val="1"/>
      <color rgb="FF000000"/>
      <sz val="14"/>
    </font>
    <font>
      <name val="Arial"/>
      <charset val="1"/>
      <b val="1"/>
      <color rgb="FF000000"/>
      <sz val="10"/>
    </font>
    <font>
      <name val="Arial"/>
      <charset val="1"/>
      <i val="1"/>
      <color rgb="FF000000"/>
      <sz val="9"/>
    </font>
    <font>
      <name val="Arial"/>
      <charset val="1"/>
      <b val="1"/>
      <color rgb="FFFFFFFF"/>
      <sz val="11"/>
    </font>
    <font>
      <name val="Arial"/>
      <charset val="1"/>
      <color rgb="FF000000"/>
      <sz val="11"/>
    </font>
    <font>
      <name val="Arial"/>
      <charset val="1"/>
      <b val="1"/>
      <color rgb="FF000000"/>
      <sz val="9"/>
    </font>
    <font>
      <name val="Arial"/>
      <charset val="1"/>
      <color rgb="FF000000"/>
      <sz val="9"/>
    </font>
    <font>
      <name val="Arial"/>
      <charset val="1"/>
      <b val="1"/>
      <color rgb="FF000000"/>
      <sz val="11"/>
    </font>
    <font>
      <name val="Arial"/>
      <charset val="204"/>
      <family val="2"/>
      <b val="1"/>
      <i val="1"/>
      <color rgb="FF000000"/>
      <sz val="9"/>
    </font>
    <font>
      <name val="Arial"/>
      <color rgb="0024313D"/>
      <sz val="10"/>
    </font>
    <font>
      <name val="Arial"/>
      <b val="1"/>
      <color rgb="00FFFFFF"/>
      <sz val="15"/>
    </font>
    <font>
      <name val="Arial"/>
      <b val="1"/>
      <color rgb="00FFFFFF"/>
      <sz val="10"/>
    </font>
    <font>
      <name val="Arial"/>
      <b val="1"/>
      <color rgb="0024313D"/>
      <sz val="10"/>
    </font>
    <font>
      <name val="Arial"/>
      <i val="1"/>
      <color rgb="0052606D"/>
      <sz val="9"/>
    </font>
  </fonts>
  <fills count="10">
    <fill>
      <patternFill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D9E1F2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00243B53"/>
      </patternFill>
    </fill>
    <fill>
      <patternFill patternType="solid">
        <fgColor rgb="00F7FAFC"/>
      </patternFill>
    </fill>
    <fill>
      <patternFill patternType="solid">
        <fgColor rgb="00EAF3F8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C9D2D9"/>
      </left>
      <right style="thin">
        <color rgb="00C9D2D9"/>
      </right>
      <top style="thin">
        <color rgb="00C9D2D9"/>
      </top>
      <bottom style="thin">
        <color rgb="00C9D2D9"/>
      </bottom>
    </border>
    <border>
      <left/>
      <right/>
      <top style="thin">
        <color rgb="00C9D2D9"/>
      </top>
      <bottom/>
      <diagonal/>
    </border>
    <border>
      <left/>
      <right style="thin">
        <color rgb="00C9D2D9"/>
      </right>
      <top style="thin">
        <color rgb="00C9D2D9"/>
      </top>
      <bottom/>
      <diagonal/>
    </border>
    <border>
      <left/>
      <right/>
      <top style="thin">
        <color rgb="00C9D2D9"/>
      </top>
      <bottom style="thin">
        <color rgb="00C9D2D9"/>
      </bottom>
      <diagonal/>
    </border>
    <border>
      <left/>
      <right style="thin">
        <color rgb="00C9D2D9"/>
      </right>
      <top style="thin">
        <color rgb="00C9D2D9"/>
      </top>
      <bottom style="thin">
        <color rgb="00C9D2D9"/>
      </bottom>
      <diagonal/>
    </border>
    <border>
      <left style="thin">
        <color rgb="00C9D2D9"/>
      </left>
      <right style="thin">
        <color rgb="00C9D2D9"/>
      </right>
      <top style="medium">
        <color rgb="00243B53"/>
      </top>
      <bottom style="medium">
        <color rgb="00243B53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1" pivotButton="0" quotePrefix="0" xfId="0"/>
    <xf numFmtId="0" fontId="0" fillId="0" borderId="1" pivotButton="0" quotePrefix="0" xfId="0"/>
    <xf numFmtId="0" fontId="3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13" fillId="9" borderId="1" applyAlignment="1" pivotButton="0" quotePrefix="0" xfId="0">
      <alignment vertical="center" wrapText="1"/>
    </xf>
    <xf numFmtId="166" fontId="13" fillId="9" borderId="1" applyAlignment="1" pivotButton="0" quotePrefix="0" xfId="0">
      <alignment vertical="center" wrapText="1"/>
    </xf>
    <xf numFmtId="0" fontId="14" fillId="0" borderId="0" applyAlignment="1" pivotButton="0" quotePrefix="0" xfId="0">
      <alignment vertical="center" wrapText="1"/>
    </xf>
    <xf numFmtId="0" fontId="12" fillId="7" borderId="11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left" vertical="center" wrapText="1"/>
    </xf>
    <xf numFmtId="166" fontId="10" fillId="0" borderId="6" applyAlignment="1" pivotButton="0" quotePrefix="0" xfId="0">
      <alignment horizontal="center" vertical="center" wrapText="1"/>
    </xf>
    <xf numFmtId="0" fontId="10" fillId="8" borderId="6" applyAlignment="1" pivotButton="0" quotePrefix="0" xfId="0">
      <alignment horizontal="center" vertical="center" wrapText="1"/>
    </xf>
    <xf numFmtId="0" fontId="10" fillId="8" borderId="6" applyAlignment="1" pivotButton="0" quotePrefix="0" xfId="0">
      <alignment horizontal="left" vertical="center" wrapText="1"/>
    </xf>
    <xf numFmtId="166" fontId="10" fillId="8" borderId="6" applyAlignment="1" pivotButton="0" quotePrefix="0" xfId="0">
      <alignment horizontal="center" vertical="center" wrapText="1"/>
    </xf>
    <xf numFmtId="0" fontId="11" fillId="7" borderId="6" applyAlignment="1" pivotButton="0" quotePrefix="0" xfId="0">
      <alignment horizontal="left" vertical="center"/>
    </xf>
    <xf numFmtId="0" fontId="0" fillId="0" borderId="9" pivotButton="0" quotePrefix="0" xfId="0"/>
    <xf numFmtId="0" fontId="0" fillId="0" borderId="10" pivotButton="0" quotePrefix="0" xfId="0"/>
    <xf numFmtId="166" fontId="12" fillId="7" borderId="11" applyAlignment="1" pivotButton="0" quotePrefix="0" xfId="0">
      <alignment horizontal="center" vertical="center" wrapText="1"/>
    </xf>
    <xf numFmtId="0" fontId="11" fillId="7" borderId="0" applyAlignment="1" pivotButton="0" quotePrefix="0" xfId="0">
      <alignment horizontal="left" vertical="center"/>
    </xf>
    <xf numFmtId="0" fontId="13" fillId="9" borderId="0" applyAlignment="1" pivotButton="0" quotePrefix="0" xfId="0">
      <alignment vertical="center" wrapText="1"/>
    </xf>
    <xf numFmtId="166" fontId="0" fillId="0" borderId="0" pivotButton="0" quotePrefix="0" xfId="0"/>
    <xf numFmtId="0" fontId="10" fillId="0" borderId="6" applyAlignment="1" pivotButton="0" quotePrefix="0" xfId="0">
      <alignment vertical="top" wrapText="1"/>
    </xf>
  </cellXfs>
  <cellStyles count="1">
    <cellStyle name="Обычный" xfId="0" builtinId="0"/>
  </cellStyles>
  <dxfs count="4">
    <dxf>
      <font>
        <name val="Arial"/>
        <color rgb="FF9C6500"/>
      </font>
      <fill>
        <patternFill>
          <bgColor rgb="FFFFEB9C"/>
        </patternFill>
      </fill>
    </dxf>
    <dxf>
      <font>
        <name val="Arial"/>
        <color rgb="FF9C0006"/>
      </font>
      <fill>
        <patternFill>
          <bgColor rgb="FFFFC7CE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FFF2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43B53"/>
    <outlinePr summaryBelow="1" summaryRight="1"/>
    <pageSetUpPr fitToPage="1"/>
  </sheetPr>
  <dimension ref="A1:O51"/>
  <sheetViews>
    <sheetView showGridLines="0" tabSelected="1" zoomScaleNormal="100" workbookViewId="0">
      <pane ySplit="4" topLeftCell="A5" activePane="bottomLeft" state="frozen"/>
      <selection pane="bottomLeft" activeCell="D17" sqref="D17"/>
    </sheetView>
  </sheetViews>
  <sheetFormatPr baseColWidth="8" defaultColWidth="8.6640625" defaultRowHeight="14.4"/>
  <cols>
    <col width="6.77734375" customWidth="1" style="2" min="1" max="1"/>
    <col width="23.88671875" bestFit="1" customWidth="1" style="2" min="2" max="2"/>
    <col width="49.33203125" bestFit="1" customWidth="1" style="2" min="3" max="3"/>
    <col width="12.6640625" bestFit="1" customWidth="1" style="2" min="4" max="4"/>
    <col width="15.109375" bestFit="1" customWidth="1" style="2" min="5" max="5"/>
    <col width="21.44140625" bestFit="1" customWidth="1" style="2" min="6" max="6"/>
    <col width="23" bestFit="1" customWidth="1" style="2" min="7" max="7"/>
    <col width="28.44140625" bestFit="1" customWidth="1" style="2" min="8" max="8"/>
    <col width="15.77734375" bestFit="1" customWidth="1" style="2" min="9" max="9"/>
    <col width="8.6640625" customWidth="1" style="2" min="10" max="14"/>
    <col width="16" customWidth="1" style="2" min="15" max="15"/>
    <col width="8.6640625" customWidth="1" style="2" min="16" max="16384"/>
  </cols>
  <sheetData>
    <row r="1" ht="30" customHeight="1">
      <c r="A1" s="23" t="inlineStr">
        <is>
          <t>План работы образовательного учреждения</t>
        </is>
      </c>
      <c r="B1" s="24" t="n"/>
      <c r="C1" s="24" t="n"/>
      <c r="D1" s="24" t="n"/>
      <c r="E1" s="24" t="n"/>
      <c r="F1" s="24" t="n"/>
      <c r="G1" s="24" t="n"/>
      <c r="H1" s="24" t="n"/>
      <c r="I1" s="25" t="n"/>
    </row>
    <row r="2" ht="15" customHeight="1">
      <c r="A2" s="26" t="inlineStr">
        <is>
          <t>МБОУ СОШ № 1 г. Краснодара</t>
        </is>
      </c>
      <c r="B2" s="24" t="n"/>
      <c r="C2" s="25" t="n"/>
      <c r="D2" s="26" t="inlineStr">
        <is>
          <t>Ответственный за предоставление: Гулевич Эмилия</t>
        </is>
      </c>
      <c r="E2" s="24" t="n"/>
      <c r="F2" s="25" t="n"/>
      <c r="G2" s="26" t="inlineStr">
        <is>
          <t>Дата подготовки отчёта:</t>
        </is>
      </c>
      <c r="H2" s="27">
        <f>TODAY()</f>
        <v/>
      </c>
      <c r="I2" s="28" t="inlineStr">
        <is>
          <t>Подготовлено для печати</t>
        </is>
      </c>
    </row>
    <row r="4" ht="34" customHeight="1">
      <c r="A4" s="29" t="inlineStr">
        <is>
          <t>№</t>
        </is>
      </c>
      <c r="B4" s="29" t="inlineStr">
        <is>
          <t>Тип мероприятия</t>
        </is>
      </c>
      <c r="C4" s="29" t="inlineStr">
        <is>
          <t>Название мероприятия</t>
        </is>
      </c>
      <c r="D4" s="29" t="inlineStr">
        <is>
          <t>Начало</t>
        </is>
      </c>
      <c r="E4" s="29" t="inlineStr">
        <is>
          <t>Окончание</t>
        </is>
      </c>
      <c r="F4" s="29" t="inlineStr">
        <is>
          <t>Ответственный (ФИО)</t>
        </is>
      </c>
      <c r="G4" s="29" t="inlineStr">
        <is>
          <t>Телефон</t>
        </is>
      </c>
      <c r="H4" s="29" t="inlineStr">
        <is>
          <t>Место проведения</t>
        </is>
      </c>
      <c r="I4" s="29" t="inlineStr">
        <is>
          <t>Статус</t>
        </is>
      </c>
    </row>
    <row r="5" ht="29" customHeight="1">
      <c r="A5" s="30" t="n">
        <v>1</v>
      </c>
      <c r="B5" s="31" t="inlineStr">
        <is>
          <t>Нормативы</t>
        </is>
      </c>
      <c r="C5" s="31" t="inlineStr">
        <is>
          <t>Сдача ГТО</t>
        </is>
      </c>
      <c r="D5" s="32" t="n">
        <v>46298</v>
      </c>
      <c r="E5" s="32" t="n">
        <v>46298</v>
      </c>
      <c r="F5" s="31" t="inlineStr">
        <is>
          <t>Александров А. А.</t>
        </is>
      </c>
      <c r="G5" s="31" t="inlineStr">
        <is>
          <t>+7-900-111-22-33</t>
        </is>
      </c>
      <c r="H5" s="31" t="inlineStr">
        <is>
          <t>Стадион «Спартак»</t>
        </is>
      </c>
      <c r="I5" s="30">
        <f>IF(E5&lt;TODAY(),"Завершено",IF(D5-TODAY()&lt;=3,"Скоро","Запланировано"))</f>
        <v/>
      </c>
    </row>
    <row r="6" ht="29" customHeight="1">
      <c r="A6" s="33" t="n">
        <v>2</v>
      </c>
      <c r="B6" s="34" t="inlineStr">
        <is>
          <t>Кубановедение</t>
        </is>
      </c>
      <c r="C6" s="34" t="inlineStr">
        <is>
          <t>Урок «История Кубани»</t>
        </is>
      </c>
      <c r="D6" s="35" t="n">
        <v>46037</v>
      </c>
      <c r="E6" s="35" t="n">
        <v>46037</v>
      </c>
      <c r="F6" s="34" t="inlineStr">
        <is>
          <t>Петрова И. С.</t>
        </is>
      </c>
      <c r="G6" s="34" t="inlineStr">
        <is>
          <t>+7-900-222-33-44</t>
        </is>
      </c>
      <c r="H6" s="34" t="inlineStr">
        <is>
          <t>Кабинет 204</t>
        </is>
      </c>
      <c r="I6" s="33">
        <f>IF(E6&lt;TODAY(),"Завершено",IF(D6-TODAY()&lt;=3,"Скоро","Запланировано"))</f>
        <v/>
      </c>
    </row>
    <row r="7" ht="29" customHeight="1">
      <c r="A7" s="30" t="n">
        <v>3</v>
      </c>
      <c r="B7" s="31" t="inlineStr">
        <is>
          <t>ЕГЭ</t>
        </is>
      </c>
      <c r="C7" s="31" t="inlineStr">
        <is>
          <t>Консультация по математике</t>
        </is>
      </c>
      <c r="D7" s="32" t="n">
        <v>46042</v>
      </c>
      <c r="E7" s="32" t="n">
        <v>46042</v>
      </c>
      <c r="F7" s="31" t="inlineStr">
        <is>
          <t>Сидоров В. П.</t>
        </is>
      </c>
      <c r="G7" s="31" t="inlineStr">
        <is>
          <t>+7-900-333-44-55</t>
        </is>
      </c>
      <c r="H7" s="31" t="inlineStr">
        <is>
          <t>Кабинет 310</t>
        </is>
      </c>
      <c r="I7" s="30">
        <f>IF(E7&lt;TODAY(),"Завершено",IF(D7-TODAY()&lt;=3,"Скоро","Запланировано"))</f>
        <v/>
      </c>
    </row>
    <row r="8" ht="29" customHeight="1">
      <c r="A8" s="33" t="n">
        <v>4</v>
      </c>
      <c r="B8" s="34" t="inlineStr">
        <is>
          <t>Воспитательная работа</t>
        </is>
      </c>
      <c r="C8" s="34" t="inlineStr">
        <is>
          <t>Классный час «Дружба»</t>
        </is>
      </c>
      <c r="D8" s="35" t="n">
        <v>46056</v>
      </c>
      <c r="E8" s="35" t="n">
        <v>46056</v>
      </c>
      <c r="F8" s="34" t="inlineStr">
        <is>
          <t>Иванова Е. Н.</t>
        </is>
      </c>
      <c r="G8" s="34" t="inlineStr">
        <is>
          <t>+7-900-444-55-66</t>
        </is>
      </c>
      <c r="H8" s="34" t="inlineStr">
        <is>
          <t>Кабинет 105</t>
        </is>
      </c>
      <c r="I8" s="33">
        <f>IF(E8&lt;TODAY(),"Завершено",IF(D8-TODAY()&lt;=3,"Скоро","Запланировано"))</f>
        <v/>
      </c>
    </row>
    <row r="9" ht="29" customHeight="1">
      <c r="A9" s="30" t="n">
        <v>5</v>
      </c>
      <c r="B9" s="31" t="inlineStr">
        <is>
          <t>Кубановедение</t>
        </is>
      </c>
      <c r="C9" s="31" t="inlineStr">
        <is>
          <t>Экскурсия в краеведческий музей</t>
        </is>
      </c>
      <c r="D9" s="32" t="n">
        <v>46063</v>
      </c>
      <c r="E9" s="32" t="n">
        <v>46063</v>
      </c>
      <c r="F9" s="31" t="inlineStr">
        <is>
          <t>Петрова И. С.</t>
        </is>
      </c>
      <c r="G9" s="31" t="inlineStr">
        <is>
          <t>+7-900-222-33-44</t>
        </is>
      </c>
      <c r="H9" s="31" t="inlineStr">
        <is>
          <t>Краеведческий музей</t>
        </is>
      </c>
      <c r="I9" s="30">
        <f>IF(E9&lt;TODAY(),"Завершено",IF(D9-TODAY()&lt;=3,"Скоро","Запланировано"))</f>
        <v/>
      </c>
    </row>
    <row r="10" ht="29" customHeight="1">
      <c r="A10" s="33" t="n">
        <v>6</v>
      </c>
      <c r="B10" s="34" t="inlineStr">
        <is>
          <t>ЕГЭ</t>
        </is>
      </c>
      <c r="C10" s="34" t="inlineStr">
        <is>
          <t>Пробный экзамен по русскому языку</t>
        </is>
      </c>
      <c r="D10" s="35" t="n">
        <v>46071</v>
      </c>
      <c r="E10" s="35" t="n">
        <v>46071</v>
      </c>
      <c r="F10" s="34" t="inlineStr">
        <is>
          <t>Кузнецова О. Л.</t>
        </is>
      </c>
      <c r="G10" s="34" t="inlineStr">
        <is>
          <t>+7-900-555-66-77</t>
        </is>
      </c>
      <c r="H10" s="34" t="inlineStr">
        <is>
          <t>Кабинет 310</t>
        </is>
      </c>
      <c r="I10" s="33">
        <f>IF(E10&lt;TODAY(),"Завершено",IF(D10-TODAY()&lt;=3,"Скоро","Запланировано"))</f>
        <v/>
      </c>
    </row>
    <row r="11" ht="29" customHeight="1">
      <c r="A11" s="30" t="n">
        <v>7</v>
      </c>
      <c r="B11" s="31" t="inlineStr">
        <is>
          <t>Профориентация</t>
        </is>
      </c>
      <c r="C11" s="31" t="inlineStr">
        <is>
          <t>Встреча с представителями вузов</t>
        </is>
      </c>
      <c r="D11" s="32" t="n">
        <v>46078</v>
      </c>
      <c r="E11" s="32" t="n">
        <v>46078</v>
      </c>
      <c r="F11" s="31" t="inlineStr">
        <is>
          <t>Смирнов Д. А.</t>
        </is>
      </c>
      <c r="G11" s="31" t="inlineStr">
        <is>
          <t>+7-900-666-77-88</t>
        </is>
      </c>
      <c r="H11" s="31" t="inlineStr">
        <is>
          <t>Актовый зал</t>
        </is>
      </c>
      <c r="I11" s="30">
        <f>IF(E11&lt;TODAY(),"Завершено",IF(D11-TODAY()&lt;=3,"Скоро","Запланировано"))</f>
        <v/>
      </c>
    </row>
    <row r="12" ht="29" customHeight="1">
      <c r="A12" s="33" t="n">
        <v>8</v>
      </c>
      <c r="B12" s="34" t="inlineStr">
        <is>
          <t>Нормативы</t>
        </is>
      </c>
      <c r="C12" s="34" t="inlineStr">
        <is>
          <t>Сдача норм ГТО (зимний этап)</t>
        </is>
      </c>
      <c r="D12" s="35" t="n">
        <v>46083</v>
      </c>
      <c r="E12" s="35" t="n">
        <v>46085</v>
      </c>
      <c r="F12" s="34" t="inlineStr">
        <is>
          <t>Александров А. А.</t>
        </is>
      </c>
      <c r="G12" s="34" t="inlineStr">
        <is>
          <t>+7-900-111-22-33</t>
        </is>
      </c>
      <c r="H12" s="34" t="inlineStr">
        <is>
          <t>Спортзал школы</t>
        </is>
      </c>
      <c r="I12" s="33">
        <f>IF(E12&lt;TODAY(),"Завершено",IF(D12-TODAY()&lt;=3,"Скоро","Запланировано"))</f>
        <v/>
      </c>
    </row>
    <row r="13" ht="29" customHeight="1">
      <c r="A13" s="30" t="n">
        <v>9</v>
      </c>
      <c r="B13" s="31" t="inlineStr">
        <is>
          <t>Родительское собрание</t>
        </is>
      </c>
      <c r="C13" s="31" t="inlineStr">
        <is>
          <t>Общешкольное собрание</t>
        </is>
      </c>
      <c r="D13" s="32" t="n">
        <v>46093</v>
      </c>
      <c r="E13" s="32" t="n">
        <v>46093</v>
      </c>
      <c r="F13" s="31" t="inlineStr">
        <is>
          <t>Иванова Е. Н.</t>
        </is>
      </c>
      <c r="G13" s="31" t="inlineStr">
        <is>
          <t>+7-900-444-55-66</t>
        </is>
      </c>
      <c r="H13" s="31" t="inlineStr">
        <is>
          <t>Актовый зал</t>
        </is>
      </c>
      <c r="I13" s="30">
        <f>IF(E13&lt;TODAY(),"Завершено",IF(D13-TODAY()&lt;=3,"Скоро","Запланировано"))</f>
        <v/>
      </c>
    </row>
    <row r="14" ht="29" customHeight="1">
      <c r="A14" s="33" t="n">
        <v>10</v>
      </c>
      <c r="B14" s="34" t="inlineStr">
        <is>
          <t>Олимпиада</t>
        </is>
      </c>
      <c r="C14" s="34" t="inlineStr">
        <is>
          <t>Школьный этап олимпиады по физике</t>
        </is>
      </c>
      <c r="D14" s="35" t="n">
        <v>46101</v>
      </c>
      <c r="E14" s="35" t="n">
        <v>46101</v>
      </c>
      <c r="F14" s="34" t="inlineStr">
        <is>
          <t>Сидоров В. П.</t>
        </is>
      </c>
      <c r="G14" s="34" t="inlineStr">
        <is>
          <t>+7-900-333-44-55</t>
        </is>
      </c>
      <c r="H14" s="34" t="inlineStr">
        <is>
          <t>Кабинет 310</t>
        </is>
      </c>
      <c r="I14" s="33">
        <f>IF(E14&lt;TODAY(),"Завершено",IF(D14-TODAY()&lt;=3,"Скоро","Запланировано"))</f>
        <v/>
      </c>
    </row>
    <row r="15" ht="29" customHeight="1">
      <c r="A15" s="30" t="n">
        <v>11</v>
      </c>
      <c r="B15" s="31" t="inlineStr">
        <is>
          <t>Кубановедение</t>
        </is>
      </c>
      <c r="C15" s="31" t="inlineStr">
        <is>
          <t>Конкурс «Моя малая Родина»</t>
        </is>
      </c>
      <c r="D15" s="32" t="n">
        <v>46117</v>
      </c>
      <c r="E15" s="32" t="n">
        <v>46117</v>
      </c>
      <c r="F15" s="31" t="inlineStr">
        <is>
          <t>Петрова И. С.</t>
        </is>
      </c>
      <c r="G15" s="31" t="inlineStr">
        <is>
          <t>+7-900-222-33-44</t>
        </is>
      </c>
      <c r="H15" s="31" t="inlineStr">
        <is>
          <t>Актовый зал</t>
        </is>
      </c>
      <c r="I15" s="30">
        <f>IF(E15&lt;TODAY(),"Завершено",IF(D15-TODAY()&lt;=3,"Скоро","Запланировано"))</f>
        <v/>
      </c>
    </row>
    <row r="16" ht="29" customHeight="1">
      <c r="A16" s="33" t="n">
        <v>12</v>
      </c>
      <c r="B16" s="34" t="inlineStr">
        <is>
          <t>ЕГЭ</t>
        </is>
      </c>
      <c r="C16" s="34" t="inlineStr">
        <is>
          <t>Консультация по обществознанию</t>
        </is>
      </c>
      <c r="D16" s="35" t="n">
        <v>46126</v>
      </c>
      <c r="E16" s="35" t="n">
        <v>46126</v>
      </c>
      <c r="F16" s="34" t="inlineStr">
        <is>
          <t>Кузнецова О. Л.</t>
        </is>
      </c>
      <c r="G16" s="34" t="inlineStr">
        <is>
          <t>+7-900-555-66-77</t>
        </is>
      </c>
      <c r="H16" s="34" t="inlineStr">
        <is>
          <t>Кабинет 212</t>
        </is>
      </c>
      <c r="I16" s="33">
        <f>IF(E16&lt;TODAY(),"Завершено",IF(D16-TODAY()&lt;=3,"Скоро","Запланировано"))</f>
        <v/>
      </c>
    </row>
    <row r="17" ht="29" customHeight="1">
      <c r="A17" s="30" t="n">
        <v>13</v>
      </c>
      <c r="B17" s="31" t="inlineStr">
        <is>
          <t>Воспитательная работа</t>
        </is>
      </c>
      <c r="C17" s="31" t="inlineStr">
        <is>
          <t>Субботник на территории школы</t>
        </is>
      </c>
      <c r="D17" s="32" t="n">
        <v>46134</v>
      </c>
      <c r="E17" s="32" t="n">
        <v>46134</v>
      </c>
      <c r="F17" s="31" t="inlineStr">
        <is>
          <t>Смирнов Д. А.</t>
        </is>
      </c>
      <c r="G17" s="31" t="inlineStr">
        <is>
          <t>+7-900-666-77-88</t>
        </is>
      </c>
      <c r="H17" s="31" t="inlineStr">
        <is>
          <t>Территория школы</t>
        </is>
      </c>
      <c r="I17" s="30">
        <f>IF(E17&lt;TODAY(),"Завершено",IF(D17-TODAY()&lt;=3,"Скоро","Запланировано"))</f>
        <v/>
      </c>
    </row>
    <row r="18" ht="29" customHeight="1">
      <c r="A18" s="33" t="n">
        <v>14</v>
      </c>
      <c r="B18" s="34" t="inlineStr">
        <is>
          <t>Нормативы</t>
        </is>
      </c>
      <c r="C18" s="34" t="inlineStr">
        <is>
          <t>Сдача норм ГТО (весенний этап)</t>
        </is>
      </c>
      <c r="D18" s="35" t="n">
        <v>46148</v>
      </c>
      <c r="E18" s="35" t="n">
        <v>46150</v>
      </c>
      <c r="F18" s="34" t="inlineStr">
        <is>
          <t>Александров А. А.</t>
        </is>
      </c>
      <c r="G18" s="34" t="inlineStr">
        <is>
          <t>+7-900-111-22-33</t>
        </is>
      </c>
      <c r="H18" s="34" t="inlineStr">
        <is>
          <t>Стадион «Спартак»</t>
        </is>
      </c>
      <c r="I18" s="33">
        <f>IF(E18&lt;TODAY(),"Завершено",IF(D18-TODAY()&lt;=3,"Скоро","Запланировано"))</f>
        <v/>
      </c>
    </row>
    <row r="19" ht="29" customHeight="1">
      <c r="A19" s="30" t="n">
        <v>15</v>
      </c>
      <c r="B19" s="31" t="inlineStr">
        <is>
          <t>Культура</t>
        </is>
      </c>
      <c r="C19" s="31" t="inlineStr">
        <is>
          <t>Праздник «День Победы»</t>
        </is>
      </c>
      <c r="D19" s="32" t="n">
        <v>46151</v>
      </c>
      <c r="E19" s="32" t="n">
        <v>46151</v>
      </c>
      <c r="F19" s="31" t="inlineStr">
        <is>
          <t>Иванова Е. Н.</t>
        </is>
      </c>
      <c r="G19" s="31" t="inlineStr">
        <is>
          <t>+7-900-444-55-66</t>
        </is>
      </c>
      <c r="H19" s="31" t="inlineStr">
        <is>
          <t>Актовый зал</t>
        </is>
      </c>
      <c r="I19" s="30">
        <f>IF(E19&lt;TODAY(),"Завершено",IF(D19-TODAY()&lt;=3,"Скоро","Запланировано"))</f>
        <v/>
      </c>
    </row>
    <row r="20" ht="29" customHeight="1">
      <c r="A20" s="33" t="n">
        <v>16</v>
      </c>
      <c r="B20" s="34" t="inlineStr">
        <is>
          <t>Кубановедение</t>
        </is>
      </c>
      <c r="C20" s="34" t="inlineStr">
        <is>
          <t>Фестиваль кубанской культуры</t>
        </is>
      </c>
      <c r="D20" s="35" t="n">
        <v>46157</v>
      </c>
      <c r="E20" s="35" t="n">
        <v>46157</v>
      </c>
      <c r="F20" s="34" t="inlineStr">
        <is>
          <t>Петрова И. С.</t>
        </is>
      </c>
      <c r="G20" s="34" t="inlineStr">
        <is>
          <t>+7-900-222-33-44</t>
        </is>
      </c>
      <c r="H20" s="34" t="inlineStr">
        <is>
          <t>Школьный двор</t>
        </is>
      </c>
      <c r="I20" s="33">
        <f>IF(E20&lt;TODAY(),"Завершено",IF(D20-TODAY()&lt;=3,"Скоро","Запланировано"))</f>
        <v/>
      </c>
    </row>
    <row r="21" ht="29" customHeight="1">
      <c r="A21" s="30" t="n">
        <v>17</v>
      </c>
      <c r="B21" s="31" t="inlineStr">
        <is>
          <t>ЕГЭ</t>
        </is>
      </c>
      <c r="C21" s="31" t="inlineStr">
        <is>
          <t>Итоговое собеседование 9 класс</t>
        </is>
      </c>
      <c r="D21" s="32" t="n">
        <v>46162</v>
      </c>
      <c r="E21" s="32" t="n">
        <v>46162</v>
      </c>
      <c r="F21" s="31" t="inlineStr">
        <is>
          <t>Сидоров В. П.</t>
        </is>
      </c>
      <c r="G21" s="31" t="inlineStr">
        <is>
          <t>+7-900-333-44-55</t>
        </is>
      </c>
      <c r="H21" s="31" t="inlineStr">
        <is>
          <t>Кабинет 310</t>
        </is>
      </c>
      <c r="I21" s="30">
        <f>IF(E21&lt;TODAY(),"Завершено",IF(D21-TODAY()&lt;=3,"Скоро","Запланировано"))</f>
        <v/>
      </c>
    </row>
    <row r="22" ht="29" customHeight="1">
      <c r="A22" s="33" t="n">
        <v>18</v>
      </c>
      <c r="B22" s="34" t="inlineStr">
        <is>
          <t>Спорт</t>
        </is>
      </c>
      <c r="C22" s="34" t="inlineStr">
        <is>
          <t>Школьная спартакиада</t>
        </is>
      </c>
      <c r="D22" s="35" t="n">
        <v>46174</v>
      </c>
      <c r="E22" s="35" t="n">
        <v>46175</v>
      </c>
      <c r="F22" s="34" t="inlineStr">
        <is>
          <t>Александров А. А.</t>
        </is>
      </c>
      <c r="G22" s="34" t="inlineStr">
        <is>
          <t>+7-900-111-22-33</t>
        </is>
      </c>
      <c r="H22" s="34" t="inlineStr">
        <is>
          <t>Стадион «Спартак»</t>
        </is>
      </c>
      <c r="I22" s="33">
        <f>IF(E22&lt;TODAY(),"Завершено",IF(D22-TODAY()&lt;=3,"Скоро","Запланировано"))</f>
        <v/>
      </c>
    </row>
    <row r="23" ht="29" customHeight="1">
      <c r="A23" s="30" t="n">
        <v>19</v>
      </c>
      <c r="B23" s="31" t="inlineStr">
        <is>
          <t>ЕГЭ</t>
        </is>
      </c>
      <c r="C23" s="31" t="inlineStr">
        <is>
          <t>Единый государственный экзамен — русский язык</t>
        </is>
      </c>
      <c r="D23" s="32" t="n">
        <v>46178</v>
      </c>
      <c r="E23" s="32" t="n">
        <v>46178</v>
      </c>
      <c r="F23" s="31" t="inlineStr">
        <is>
          <t>Кузнецова О. Л.</t>
        </is>
      </c>
      <c r="G23" s="31" t="inlineStr">
        <is>
          <t>+7-900-555-66-77</t>
        </is>
      </c>
      <c r="H23" s="31" t="inlineStr">
        <is>
          <t>Пункт проведения ЕГЭ № 12</t>
        </is>
      </c>
      <c r="I23" s="30">
        <f>IF(E23&lt;TODAY(),"Завершено",IF(D23-TODAY()&lt;=3,"Скоро","Запланировано"))</f>
        <v/>
      </c>
    </row>
    <row r="24" ht="29" customHeight="1">
      <c r="A24" s="33" t="n">
        <v>20</v>
      </c>
      <c r="B24" s="34" t="inlineStr">
        <is>
          <t>ЕГЭ</t>
        </is>
      </c>
      <c r="C24" s="34" t="inlineStr">
        <is>
          <t>Единый государственный экзамен — математика</t>
        </is>
      </c>
      <c r="D24" s="35" t="n">
        <v>46182</v>
      </c>
      <c r="E24" s="35" t="n">
        <v>46182</v>
      </c>
      <c r="F24" s="34" t="inlineStr">
        <is>
          <t>Кузнецова О. Л.</t>
        </is>
      </c>
      <c r="G24" s="34" t="inlineStr">
        <is>
          <t>+7-900-555-66-77</t>
        </is>
      </c>
      <c r="H24" s="34" t="inlineStr">
        <is>
          <t>Пункт проведения ЕГЭ № 12</t>
        </is>
      </c>
      <c r="I24" s="33">
        <f>IF(E24&lt;TODAY(),"Завершено",IF(D24-TODAY()&lt;=3,"Скоро","Запланировано"))</f>
        <v/>
      </c>
    </row>
    <row r="25" ht="29" customHeight="1">
      <c r="A25" s="30" t="n">
        <v>21</v>
      </c>
      <c r="B25" s="31" t="inlineStr">
        <is>
          <t>Воспитательная работа</t>
        </is>
      </c>
      <c r="C25" s="31" t="inlineStr">
        <is>
          <t>Выпускной вечер 11 класс</t>
        </is>
      </c>
      <c r="D25" s="32" t="n">
        <v>46198</v>
      </c>
      <c r="E25" s="32" t="n">
        <v>46198</v>
      </c>
      <c r="F25" s="31" t="inlineStr">
        <is>
          <t>Иванова Е. Н.</t>
        </is>
      </c>
      <c r="G25" s="31" t="inlineStr">
        <is>
          <t>+7-900-444-55-66</t>
        </is>
      </c>
      <c r="H25" s="31" t="inlineStr">
        <is>
          <t>Актовый зал</t>
        </is>
      </c>
      <c r="I25" s="30">
        <f>IF(E25&lt;TODAY(),"Завершено",IF(D25-TODAY()&lt;=3,"Скоро","Запланировано"))</f>
        <v/>
      </c>
    </row>
    <row r="26" ht="29" customHeight="1">
      <c r="A26" s="33" t="n">
        <v>22</v>
      </c>
      <c r="B26" s="34" t="inlineStr">
        <is>
          <t>Профориентация</t>
        </is>
      </c>
      <c r="C26" s="34" t="inlineStr">
        <is>
          <t>Летняя профориентационная практика</t>
        </is>
      </c>
      <c r="D26" s="35" t="n">
        <v>46213</v>
      </c>
      <c r="E26" s="35" t="n">
        <v>46223</v>
      </c>
      <c r="F26" s="34" t="inlineStr">
        <is>
          <t>Смирнов Д. А.</t>
        </is>
      </c>
      <c r="G26" s="34" t="inlineStr">
        <is>
          <t>+7-900-666-77-88</t>
        </is>
      </c>
      <c r="H26" s="34" t="inlineStr">
        <is>
          <t>Предприятия города</t>
        </is>
      </c>
      <c r="I26" s="33">
        <f>IF(E26&lt;TODAY(),"Завершено",IF(D26-TODAY()&lt;=3,"Скоро","Запланировано"))</f>
        <v/>
      </c>
    </row>
    <row r="27" ht="29" customHeight="1">
      <c r="A27" s="30" t="n">
        <v>23</v>
      </c>
      <c r="B27" s="31" t="inlineStr">
        <is>
          <t>Кубановедение</t>
        </is>
      </c>
      <c r="C27" s="31" t="inlineStr">
        <is>
          <t>Летний пришкольный лагерь: тема Кубани</t>
        </is>
      </c>
      <c r="D27" s="32" t="n">
        <v>46237</v>
      </c>
      <c r="E27" s="32" t="n">
        <v>46241</v>
      </c>
      <c r="F27" s="31" t="inlineStr">
        <is>
          <t>Петрова И. С.</t>
        </is>
      </c>
      <c r="G27" s="31" t="inlineStr">
        <is>
          <t>+7-900-222-33-44</t>
        </is>
      </c>
      <c r="H27" s="31" t="inlineStr">
        <is>
          <t>Школьный лагерь</t>
        </is>
      </c>
      <c r="I27" s="30">
        <f>IF(E27&lt;TODAY(),"Завершено",IF(D27-TODAY()&lt;=3,"Скоро","Запланировано"))</f>
        <v/>
      </c>
    </row>
    <row r="28" ht="29" customHeight="1">
      <c r="A28" s="33" t="n">
        <v>24</v>
      </c>
      <c r="B28" s="34" t="inlineStr">
        <is>
          <t>Воспитательная работа</t>
        </is>
      </c>
      <c r="C28" s="34" t="inlineStr">
        <is>
          <t>Подготовка школы к учебному году</t>
        </is>
      </c>
      <c r="D28" s="35" t="n">
        <v>46259</v>
      </c>
      <c r="E28" s="35" t="n">
        <v>46262</v>
      </c>
      <c r="F28" s="34" t="inlineStr">
        <is>
          <t>Смирнов Д. А.</t>
        </is>
      </c>
      <c r="G28" s="34" t="inlineStr">
        <is>
          <t>+7-900-666-77-88</t>
        </is>
      </c>
      <c r="H28" s="34" t="inlineStr">
        <is>
          <t>Территория школы</t>
        </is>
      </c>
      <c r="I28" s="33">
        <f>IF(E28&lt;TODAY(),"Завершено",IF(D28-TODAY()&lt;=3,"Скоро","Запланировано"))</f>
        <v/>
      </c>
    </row>
    <row r="29" ht="29" customHeight="1">
      <c r="A29" s="30" t="n">
        <v>25</v>
      </c>
      <c r="B29" s="31" t="inlineStr">
        <is>
          <t>Воспитательная работа</t>
        </is>
      </c>
      <c r="C29" s="31" t="inlineStr">
        <is>
          <t>День знаний</t>
        </is>
      </c>
      <c r="D29" s="32" t="n">
        <v>46266</v>
      </c>
      <c r="E29" s="32" t="n">
        <v>46266</v>
      </c>
      <c r="F29" s="31" t="inlineStr">
        <is>
          <t>Иванова Е. Н.</t>
        </is>
      </c>
      <c r="G29" s="31" t="inlineStr">
        <is>
          <t>+7-900-444-55-66</t>
        </is>
      </c>
      <c r="H29" s="31" t="inlineStr">
        <is>
          <t>Школьный двор</t>
        </is>
      </c>
      <c r="I29" s="30">
        <f>IF(E29&lt;TODAY(),"Завершено",IF(D29-TODAY()&lt;=3,"Скоро","Запланировано"))</f>
        <v/>
      </c>
    </row>
    <row r="30" ht="29" customHeight="1">
      <c r="A30" s="33" t="n">
        <v>26</v>
      </c>
      <c r="B30" s="34" t="inlineStr">
        <is>
          <t>Нормативы</t>
        </is>
      </c>
      <c r="C30" s="34" t="inlineStr">
        <is>
          <t>Сдача норм ГТО (осенний этап)</t>
        </is>
      </c>
      <c r="D30" s="35" t="n">
        <v>46275</v>
      </c>
      <c r="E30" s="35" t="n">
        <v>46277</v>
      </c>
      <c r="F30" s="34" t="inlineStr">
        <is>
          <t>Александров А. А.</t>
        </is>
      </c>
      <c r="G30" s="34" t="inlineStr">
        <is>
          <t>+7-900-111-22-33</t>
        </is>
      </c>
      <c r="H30" s="34" t="inlineStr">
        <is>
          <t>Стадион «Спартак»</t>
        </is>
      </c>
      <c r="I30" s="33">
        <f>IF(E30&lt;TODAY(),"Завершено",IF(D30-TODAY()&lt;=3,"Скоро","Запланировано"))</f>
        <v/>
      </c>
    </row>
    <row r="31" ht="29" customHeight="1">
      <c r="A31" s="30" t="n">
        <v>27</v>
      </c>
      <c r="B31" s="31" t="inlineStr">
        <is>
          <t>Родительское собрание</t>
        </is>
      </c>
      <c r="C31" s="31" t="inlineStr">
        <is>
          <t>Собрание для родителей 1-х классов</t>
        </is>
      </c>
      <c r="D31" s="32" t="n">
        <v>46283</v>
      </c>
      <c r="E31" s="32" t="n">
        <v>46283</v>
      </c>
      <c r="F31" s="31" t="inlineStr">
        <is>
          <t>Иванова Е. Н.</t>
        </is>
      </c>
      <c r="G31" s="31" t="inlineStr">
        <is>
          <t>+7-900-444-55-66</t>
        </is>
      </c>
      <c r="H31" s="31" t="inlineStr">
        <is>
          <t>Кабинет 101</t>
        </is>
      </c>
      <c r="I31" s="30">
        <f>IF(E31&lt;TODAY(),"Завершено",IF(D31-TODAY()&lt;=3,"Скоро","Запланировано"))</f>
        <v/>
      </c>
    </row>
    <row r="32" ht="29" customHeight="1">
      <c r="A32" s="33" t="n">
        <v>28</v>
      </c>
      <c r="B32" s="34" t="inlineStr">
        <is>
          <t>ЕГЭ</t>
        </is>
      </c>
      <c r="C32" s="34" t="inlineStr">
        <is>
          <t>Диагностическая работа 11 класс</t>
        </is>
      </c>
      <c r="D32" s="35" t="n">
        <v>46290</v>
      </c>
      <c r="E32" s="35" t="n">
        <v>46290</v>
      </c>
      <c r="F32" s="34" t="inlineStr">
        <is>
          <t>Сидоров В. П.</t>
        </is>
      </c>
      <c r="G32" s="34" t="inlineStr">
        <is>
          <t>+7-900-333-44-55</t>
        </is>
      </c>
      <c r="H32" s="34" t="inlineStr">
        <is>
          <t>Кабинет 310</t>
        </is>
      </c>
      <c r="I32" s="33">
        <f>IF(E32&lt;TODAY(),"Завершено",IF(D32-TODAY()&lt;=3,"Скоро","Запланировано"))</f>
        <v/>
      </c>
    </row>
    <row r="33" ht="29" customHeight="1">
      <c r="A33" s="30" t="n">
        <v>29</v>
      </c>
      <c r="B33" s="31" t="inlineStr">
        <is>
          <t>Олимпиада</t>
        </is>
      </c>
      <c r="C33" s="31" t="inlineStr">
        <is>
          <t>Муниципальный этап олимпиады</t>
        </is>
      </c>
      <c r="D33" s="32" t="n">
        <v>46298</v>
      </c>
      <c r="E33" s="32" t="n">
        <v>46298</v>
      </c>
      <c r="F33" s="31" t="inlineStr">
        <is>
          <t>Сидоров В. П.</t>
        </is>
      </c>
      <c r="G33" s="31" t="inlineStr">
        <is>
          <t>+7-900-333-44-55</t>
        </is>
      </c>
      <c r="H33" s="31" t="inlineStr">
        <is>
          <t>Гимназия № 3</t>
        </is>
      </c>
      <c r="I33" s="30">
        <f>IF(E33&lt;TODAY(),"Завершено",IF(D33-TODAY()&lt;=3,"Скоро","Запланировано"))</f>
        <v/>
      </c>
    </row>
    <row r="34" ht="29" customHeight="1">
      <c r="A34" s="33" t="n">
        <v>30</v>
      </c>
      <c r="B34" s="34" t="inlineStr">
        <is>
          <t>Кубановедение</t>
        </is>
      </c>
      <c r="C34" s="34" t="inlineStr">
        <is>
          <t>Викторина «Казачьи традиции»</t>
        </is>
      </c>
      <c r="D34" s="35" t="n">
        <v>46299</v>
      </c>
      <c r="E34" s="35" t="n">
        <v>46299</v>
      </c>
      <c r="F34" s="34" t="inlineStr">
        <is>
          <t>Петрова И. С.</t>
        </is>
      </c>
      <c r="G34" s="34" t="inlineStr">
        <is>
          <t>+7-900-222-33-44</t>
        </is>
      </c>
      <c r="H34" s="34" t="inlineStr">
        <is>
          <t>Кабинет 204</t>
        </is>
      </c>
      <c r="I34" s="33">
        <f>IF(E34&lt;TODAY(),"Завершено",IF(D34-TODAY()&lt;=3,"Скоро","Запланировано"))</f>
        <v/>
      </c>
    </row>
    <row r="35" ht="29" customHeight="1">
      <c r="A35" s="30" t="n">
        <v>31</v>
      </c>
      <c r="B35" s="31" t="inlineStr">
        <is>
          <t>Воспитательная работа</t>
        </is>
      </c>
      <c r="C35" s="31" t="inlineStr">
        <is>
          <t>Классный час «Безопасность в сети»</t>
        </is>
      </c>
      <c r="D35" s="32" t="n">
        <v>46300</v>
      </c>
      <c r="E35" s="32" t="n">
        <v>46300</v>
      </c>
      <c r="F35" s="31" t="inlineStr">
        <is>
          <t>Иванова Е. Н.</t>
        </is>
      </c>
      <c r="G35" s="31" t="inlineStr">
        <is>
          <t>+7-900-444-55-66</t>
        </is>
      </c>
      <c r="H35" s="31" t="inlineStr">
        <is>
          <t>Кабинет 105</t>
        </is>
      </c>
      <c r="I35" s="30">
        <f>IF(E35&lt;TODAY(),"Завершено",IF(D35-TODAY()&lt;=3,"Скоро","Запланировано"))</f>
        <v/>
      </c>
    </row>
    <row r="36" ht="29" customHeight="1">
      <c r="A36" s="33" t="n">
        <v>32</v>
      </c>
      <c r="B36" s="34" t="inlineStr">
        <is>
          <t>ЕГЭ</t>
        </is>
      </c>
      <c r="C36" s="34" t="inlineStr">
        <is>
          <t>Консультация по информатике</t>
        </is>
      </c>
      <c r="D36" s="35" t="n">
        <v>46311</v>
      </c>
      <c r="E36" s="35" t="n">
        <v>46311</v>
      </c>
      <c r="F36" s="34" t="inlineStr">
        <is>
          <t>Кузнецова О. Л.</t>
        </is>
      </c>
      <c r="G36" s="34" t="inlineStr">
        <is>
          <t>+7-900-555-66-77</t>
        </is>
      </c>
      <c r="H36" s="34" t="inlineStr">
        <is>
          <t>Кабинет 212</t>
        </is>
      </c>
      <c r="I36" s="33">
        <f>IF(E36&lt;TODAY(),"Завершено",IF(D36-TODAY()&lt;=3,"Скоро","Запланировано"))</f>
        <v/>
      </c>
    </row>
    <row r="37" ht="29" customHeight="1">
      <c r="A37" s="30" t="n">
        <v>33</v>
      </c>
      <c r="B37" s="31" t="inlineStr">
        <is>
          <t>Профориентация</t>
        </is>
      </c>
      <c r="C37" s="31" t="inlineStr">
        <is>
          <t>День открытых дверей КубГУ</t>
        </is>
      </c>
      <c r="D37" s="32" t="n">
        <v>46317</v>
      </c>
      <c r="E37" s="32" t="n">
        <v>46317</v>
      </c>
      <c r="F37" s="31" t="inlineStr">
        <is>
          <t>Смирнов Д. А.</t>
        </is>
      </c>
      <c r="G37" s="31" t="inlineStr">
        <is>
          <t>+7-900-666-77-88</t>
        </is>
      </c>
      <c r="H37" s="31" t="inlineStr">
        <is>
          <t>КубГУ</t>
        </is>
      </c>
      <c r="I37" s="30">
        <f>IF(E37&lt;TODAY(),"Завершено",IF(D37-TODAY()&lt;=3,"Скоро","Запланировано"))</f>
        <v/>
      </c>
    </row>
    <row r="38" ht="29" customHeight="1">
      <c r="A38" s="33" t="n">
        <v>34</v>
      </c>
      <c r="B38" s="34" t="inlineStr">
        <is>
          <t>Культура</t>
        </is>
      </c>
      <c r="C38" s="34" t="inlineStr">
        <is>
          <t>Концерт ко Дню учителя</t>
        </is>
      </c>
      <c r="D38" s="35" t="n">
        <v>46300</v>
      </c>
      <c r="E38" s="35" t="n">
        <v>46300</v>
      </c>
      <c r="F38" s="34" t="inlineStr">
        <is>
          <t>Иванова Е. Н.</t>
        </is>
      </c>
      <c r="G38" s="34" t="inlineStr">
        <is>
          <t>+7-900-444-55-66</t>
        </is>
      </c>
      <c r="H38" s="34" t="inlineStr">
        <is>
          <t>Актовый зал</t>
        </is>
      </c>
      <c r="I38" s="33">
        <f>IF(E38&lt;TODAY(),"Завершено",IF(D38-TODAY()&lt;=3,"Скоро","Запланировано"))</f>
        <v/>
      </c>
    </row>
    <row r="39" ht="29" customHeight="1">
      <c r="A39" s="30" t="n">
        <v>35</v>
      </c>
      <c r="B39" s="31" t="inlineStr">
        <is>
          <t>Воспитательная работа</t>
        </is>
      </c>
      <c r="C39" s="31" t="inlineStr">
        <is>
          <t>Классный час «Толерантность»</t>
        </is>
      </c>
      <c r="D39" s="32" t="n">
        <v>46338</v>
      </c>
      <c r="E39" s="32" t="n">
        <v>46338</v>
      </c>
      <c r="F39" s="31" t="inlineStr">
        <is>
          <t>Иванова Е. Н.</t>
        </is>
      </c>
      <c r="G39" s="31" t="inlineStr">
        <is>
          <t>+7-900-444-55-66</t>
        </is>
      </c>
      <c r="H39" s="31" t="inlineStr">
        <is>
          <t>Кабинет 105</t>
        </is>
      </c>
      <c r="I39" s="30">
        <f>IF(E39&lt;TODAY(),"Завершено",IF(D39-TODAY()&lt;=3,"Скоро","Запланировано"))</f>
        <v/>
      </c>
    </row>
    <row r="40" ht="29" customHeight="1">
      <c r="A40" s="33" t="n">
        <v>36</v>
      </c>
      <c r="B40" s="34" t="inlineStr">
        <is>
          <t>Нормативы</t>
        </is>
      </c>
      <c r="C40" s="34" t="inlineStr">
        <is>
          <t>Контрольная сдача ГТО</t>
        </is>
      </c>
      <c r="D40" s="35" t="n">
        <v>46346</v>
      </c>
      <c r="E40" s="35" t="n">
        <v>46347</v>
      </c>
      <c r="F40" s="34" t="inlineStr">
        <is>
          <t>Александров А. А.</t>
        </is>
      </c>
      <c r="G40" s="34" t="inlineStr">
        <is>
          <t>+7-900-111-22-33</t>
        </is>
      </c>
      <c r="H40" s="34" t="inlineStr">
        <is>
          <t>Спортзал школы</t>
        </is>
      </c>
      <c r="I40" s="33">
        <f>IF(E40&lt;TODAY(),"Завершено",IF(D40-TODAY()&lt;=3,"Скоро","Запланировано"))</f>
        <v/>
      </c>
    </row>
    <row r="41" ht="29" customHeight="1">
      <c r="A41" s="30" t="n">
        <v>37</v>
      </c>
      <c r="B41" s="31" t="inlineStr">
        <is>
          <t>Культура</t>
        </is>
      </c>
      <c r="C41" s="31" t="inlineStr">
        <is>
          <t>Новогодний утренник</t>
        </is>
      </c>
      <c r="D41" s="32" t="n">
        <v>46381</v>
      </c>
      <c r="E41" s="32" t="n">
        <v>46381</v>
      </c>
      <c r="F41" s="31" t="inlineStr">
        <is>
          <t>Иванова Е. Н.</t>
        </is>
      </c>
      <c r="G41" s="31" t="inlineStr">
        <is>
          <t>+7-900-444-55-66</t>
        </is>
      </c>
      <c r="H41" s="31" t="inlineStr">
        <is>
          <t>Актовый зал</t>
        </is>
      </c>
      <c r="I41" s="30">
        <f>IF(E41&lt;TODAY(),"Завершено",IF(D41-TODAY()&lt;=3,"Скоро","Запланировано"))</f>
        <v/>
      </c>
    </row>
    <row r="42" ht="29" customHeight="1">
      <c r="A42" s="33" t="n">
        <v>38</v>
      </c>
      <c r="B42" s="34" t="inlineStr">
        <is>
          <t>Профориентация</t>
        </is>
      </c>
      <c r="C42" s="34" t="inlineStr">
        <is>
          <t>Профориентационная встреча с выпускниками</t>
        </is>
      </c>
      <c r="D42" s="35" t="n">
        <v>46329</v>
      </c>
      <c r="E42" s="35" t="n">
        <v>46329</v>
      </c>
      <c r="F42" s="34" t="inlineStr">
        <is>
          <t>Смирнов Д. А.</t>
        </is>
      </c>
      <c r="G42" s="34" t="inlineStr">
        <is>
          <t>+7-900-666-77-88</t>
        </is>
      </c>
      <c r="H42" s="34" t="inlineStr">
        <is>
          <t>Актовый зал</t>
        </is>
      </c>
      <c r="I42" s="33">
        <f>IF(E42&lt;TODAY(),"Завершено",IF(D42-TODAY()&lt;=3,"Скоро","Запланировано"))</f>
        <v/>
      </c>
    </row>
    <row r="43" ht="15" customHeight="1">
      <c r="A43" s="30" t="n"/>
      <c r="B43" s="31" t="n"/>
      <c r="C43" s="31" t="n"/>
      <c r="D43" s="32" t="n"/>
      <c r="E43" s="32" t="n"/>
      <c r="F43" s="31" t="n"/>
      <c r="G43" s="31" t="n"/>
      <c r="H43" s="31" t="n"/>
      <c r="I43" s="30" t="n"/>
      <c r="J43" s="30" t="n"/>
      <c r="K43" s="30" t="n"/>
      <c r="L43" s="30" t="n"/>
      <c r="M43" s="30" t="n"/>
      <c r="N43" s="30" t="n"/>
      <c r="O43" s="30" t="n"/>
    </row>
    <row r="44" ht="25" customHeight="1">
      <c r="A44" s="36" t="inlineStr">
        <is>
          <t>Диапазон критериев для расширенного фильтра</t>
        </is>
      </c>
      <c r="B44" s="37" t="n"/>
      <c r="C44" s="37" t="n"/>
      <c r="D44" s="37" t="n"/>
      <c r="E44" s="37" t="n"/>
      <c r="F44" s="37" t="n"/>
      <c r="G44" s="37" t="n"/>
      <c r="H44" s="37" t="n"/>
      <c r="I44" s="38" t="n"/>
      <c r="J44" s="30" t="n"/>
      <c r="K44" s="30" t="n"/>
      <c r="L44" s="30" t="n"/>
      <c r="M44" s="30" t="n"/>
      <c r="N44" s="30" t="n"/>
      <c r="O44" s="30" t="n"/>
    </row>
    <row r="45" ht="32" customHeight="1">
      <c r="A45" s="29" t="inlineStr">
        <is>
          <t>№</t>
        </is>
      </c>
      <c r="B45" s="29" t="inlineStr">
        <is>
          <t>Тип мероприятия</t>
        </is>
      </c>
      <c r="C45" s="29" t="inlineStr">
        <is>
          <t>Название мероприятия</t>
        </is>
      </c>
      <c r="D45" s="39" t="inlineStr">
        <is>
          <t>Начало</t>
        </is>
      </c>
      <c r="E45" s="39" t="inlineStr">
        <is>
          <t>Окончание</t>
        </is>
      </c>
      <c r="F45" s="29" t="inlineStr">
        <is>
          <t>Ответственный (ФИО)</t>
        </is>
      </c>
      <c r="G45" s="29" t="inlineStr">
        <is>
          <t>Телефон</t>
        </is>
      </c>
      <c r="H45" s="29" t="inlineStr">
        <is>
          <t>Место проведения</t>
        </is>
      </c>
      <c r="I45" s="29" t="inlineStr">
        <is>
          <t>Статус</t>
        </is>
      </c>
      <c r="J45" s="30" t="n"/>
      <c r="K45" s="30" t="n"/>
      <c r="L45" s="30" t="n"/>
      <c r="M45" s="30" t="n"/>
      <c r="N45" s="30" t="n"/>
      <c r="O45" s="30" t="n"/>
    </row>
    <row r="46">
      <c r="A46" s="30" t="n"/>
      <c r="B46" s="31" t="inlineStr">
        <is>
          <t>Профориентация</t>
        </is>
      </c>
      <c r="C46" s="31" t="n"/>
      <c r="D46" s="32" t="inlineStr">
        <is>
          <t>&gt;=01.10.2026</t>
        </is>
      </c>
      <c r="E46" s="32" t="n"/>
      <c r="F46" s="31" t="n"/>
      <c r="G46" s="31" t="n"/>
      <c r="H46" s="31" t="n"/>
      <c r="I46" s="30" t="n"/>
      <c r="J46" s="30" t="n"/>
      <c r="K46" s="30" t="n"/>
      <c r="L46" s="30" t="n"/>
      <c r="M46" s="30" t="n"/>
      <c r="N46" s="30" t="n"/>
      <c r="O46" s="30" t="n"/>
    </row>
    <row r="47" ht="15" customHeight="1">
      <c r="A47" s="30" t="n"/>
      <c r="B47" s="31" t="n"/>
      <c r="C47" s="31" t="n"/>
      <c r="D47" s="32" t="n"/>
      <c r="E47" s="32" t="n"/>
      <c r="F47" s="31" t="n"/>
      <c r="G47" s="31" t="n"/>
      <c r="H47" s="31" t="n"/>
      <c r="I47" s="30" t="n"/>
      <c r="J47" s="30" t="n"/>
      <c r="K47" s="30" t="n"/>
      <c r="L47" s="30" t="n"/>
      <c r="M47" s="30" t="n"/>
      <c r="N47" s="30" t="n"/>
      <c r="O47" s="30" t="n"/>
    </row>
    <row r="48" ht="25" customHeight="1">
      <c r="A48" s="36" t="inlineStr">
        <is>
          <t>Статистика мероприятий по месяцам (2026 г.)</t>
        </is>
      </c>
      <c r="B48" s="37" t="n"/>
      <c r="C48" s="37" t="n"/>
      <c r="D48" s="37" t="n"/>
      <c r="E48" s="37" t="n"/>
      <c r="F48" s="37" t="n"/>
      <c r="G48" s="37" t="n"/>
      <c r="H48" s="37" t="n"/>
      <c r="I48" s="37" t="n"/>
      <c r="J48" s="37" t="n"/>
      <c r="K48" s="37" t="n"/>
      <c r="L48" s="37" t="n"/>
      <c r="M48" s="38" t="n"/>
      <c r="N48" s="30" t="n"/>
      <c r="O48" s="30" t="n"/>
    </row>
    <row r="49" ht="24" customHeight="1">
      <c r="A49" s="29" t="inlineStr">
        <is>
          <t>Показатель</t>
        </is>
      </c>
      <c r="B49" s="29" t="inlineStr">
        <is>
          <t>Янв</t>
        </is>
      </c>
      <c r="C49" s="29" t="inlineStr">
        <is>
          <t>Фев</t>
        </is>
      </c>
      <c r="D49" s="39" t="inlineStr">
        <is>
          <t>Мар</t>
        </is>
      </c>
      <c r="E49" s="39" t="inlineStr">
        <is>
          <t>Апр</t>
        </is>
      </c>
      <c r="F49" s="29" t="inlineStr">
        <is>
          <t>Май</t>
        </is>
      </c>
      <c r="G49" s="29" t="inlineStr">
        <is>
          <t>Июн</t>
        </is>
      </c>
      <c r="H49" s="29" t="inlineStr">
        <is>
          <t>Июл</t>
        </is>
      </c>
      <c r="I49" s="29" t="inlineStr">
        <is>
          <t>Авг</t>
        </is>
      </c>
      <c r="J49" s="29" t="inlineStr">
        <is>
          <t>Сен</t>
        </is>
      </c>
      <c r="K49" s="29" t="inlineStr">
        <is>
          <t>Окт</t>
        </is>
      </c>
      <c r="L49" s="29" t="inlineStr">
        <is>
          <t>Ноя</t>
        </is>
      </c>
      <c r="M49" s="29" t="inlineStr">
        <is>
          <t>Дек</t>
        </is>
      </c>
      <c r="N49" s="30" t="n"/>
      <c r="O49" s="29" t="inlineStr">
        <is>
          <t>Тренд</t>
        </is>
      </c>
    </row>
    <row r="50" ht="23" customHeight="1">
      <c r="A50" s="29" t="inlineStr">
        <is>
          <t>Количество</t>
        </is>
      </c>
      <c r="B50" s="30">
        <f>COUNTIFS($D$5:$D$42,"&gt;="&amp;DATE(2026,1,1),$D$5:$D$42,"&lt;"&amp;DATE(2026,2,1))</f>
        <v/>
      </c>
      <c r="C50" s="30">
        <f>COUNTIFS($D$5:$D$42,"&gt;="&amp;DATE(2026,2,1),$D$5:$D$42,"&lt;"&amp;DATE(2026,3,1))</f>
        <v/>
      </c>
      <c r="D50" s="32">
        <f>COUNTIFS($D$5:$D$42,"&gt;="&amp;DATE(2026,3,1),$D$5:$D$42,"&lt;"&amp;DATE(2026,4,1))</f>
        <v/>
      </c>
      <c r="E50" s="32">
        <f>COUNTIFS($D$5:$D$42,"&gt;="&amp;DATE(2026,4,1),$D$5:$D$42,"&lt;"&amp;DATE(2026,5,1))</f>
        <v/>
      </c>
      <c r="F50" s="30">
        <f>COUNTIFS($D$5:$D$42,"&gt;="&amp;DATE(2026,5,1),$D$5:$D$42,"&lt;"&amp;DATE(2026,6,1))</f>
        <v/>
      </c>
      <c r="G50" s="30">
        <f>COUNTIFS($D$5:$D$42,"&gt;="&amp;DATE(2026,6,1),$D$5:$D$42,"&lt;"&amp;DATE(2026,7,1))</f>
        <v/>
      </c>
      <c r="H50" s="30">
        <f>COUNTIFS($D$5:$D$42,"&gt;="&amp;DATE(2026,7,1),$D$5:$D$42,"&lt;"&amp;DATE(2026,8,1))</f>
        <v/>
      </c>
      <c r="I50" s="30">
        <f>COUNTIFS($D$5:$D$42,"&gt;="&amp;DATE(2026,8,1),$D$5:$D$42,"&lt;"&amp;DATE(2026,9,1))</f>
        <v/>
      </c>
      <c r="J50" s="30">
        <f>COUNTIFS($D$5:$D$42,"&gt;="&amp;DATE(2026,9,1),$D$5:$D$42,"&lt;"&amp;DATE(2026,10,1))</f>
        <v/>
      </c>
      <c r="K50" s="30">
        <f>COUNTIFS($D$5:$D$42,"&gt;="&amp;DATE(2026,10,1),$D$5:$D$42,"&lt;"&amp;DATE(2026,11,1))</f>
        <v/>
      </c>
      <c r="L50" s="30">
        <f>COUNTIFS($D$5:$D$42,"&gt;="&amp;DATE(2026,11,1),$D$5:$D$42,"&lt;"&amp;DATE(2026,12,1))</f>
        <v/>
      </c>
      <c r="M50" s="30">
        <f>COUNTIFS($D$5:$D$42,"&gt;="&amp;DATE(2026,12,1),$D$5:$D$42,"&lt;"&amp;DATE(2026,13,1))</f>
        <v/>
      </c>
      <c r="N50" s="30" t="n"/>
      <c r="O50" s="30" t="inlineStr">
        <is>
          <t>→</t>
        </is>
      </c>
    </row>
    <row r="51">
      <c r="A51" s="30" t="n"/>
      <c r="B51" s="31" t="n"/>
      <c r="C51" s="31" t="n"/>
      <c r="D51" s="32" t="n"/>
      <c r="E51" s="32" t="n"/>
      <c r="F51" s="31" t="n"/>
      <c r="G51" s="31" t="n"/>
      <c r="H51" s="31" t="n"/>
      <c r="I51" s="30" t="n"/>
      <c r="J51" s="30" t="n"/>
      <c r="K51" s="30" t="n"/>
      <c r="L51" s="30" t="n"/>
      <c r="M51" s="30" t="n"/>
      <c r="N51" s="30" t="n"/>
      <c r="O51" s="30" t="n"/>
    </row>
  </sheetData>
  <autoFilter ref="A4:I42"/>
  <mergeCells count="5">
    <mergeCell ref="D2:F2"/>
    <mergeCell ref="A44:I44"/>
    <mergeCell ref="A1:I1"/>
    <mergeCell ref="A48:M48"/>
    <mergeCell ref="A2:C2"/>
  </mergeCells>
  <conditionalFormatting sqref="A5:I42">
    <cfRule type="expression" priority="1" dxfId="2">
      <formula>$E5&lt;TODAY()</formula>
    </cfRule>
    <cfRule type="expression" priority="2" dxfId="3">
      <formula>AND($D5&gt;=TODAY(),$D5-TODAY()&lt;=3,$E5&gt;=TODAY())</formula>
    </cfRule>
  </conditionalFormatting>
  <dataValidations count="3">
    <dataValidation sqref="B5:B42" showDropDown="0" showInputMessage="0" showErrorMessage="0" allowBlank="1" errorTitle="Недопустимое значение" error="Выберите значение из списка." promptTitle="Подсказка" prompt="Выберите значение из справочника." type="list">
      <formula1>'Справочники'!$A$4:$A$12</formula1>
    </dataValidation>
    <dataValidation sqref="F5:F42" showDropDown="0" showInputMessage="0" showErrorMessage="0" allowBlank="1" errorTitle="Недопустимое значение" error="Выберите значение из списка." promptTitle="Подсказка" prompt="Выберите значение из справочника." type="list">
      <formula1>'Справочники'!$B$4:$B$9</formula1>
    </dataValidation>
    <dataValidation sqref="H5:H42" showDropDown="0" showInputMessage="0" showErrorMessage="0" allowBlank="1" errorTitle="Недопустимое значение" error="Выберите значение из списка." promptTitle="Подсказка" prompt="Выберите значение из справочника." type="list">
      <formula1>'Справочники'!$C$4:$C$19</formula1>
    </dataValidation>
  </dataValidations>
  <pageMargins left="0.25" right="0.25" top="0.5" bottom="0.5" header="0.2" footer="0.2"/>
  <pageSetup orientation="landscape" paperSize="9" scale="61" fitToHeight="0" fitToWidth="1" horizontalDpi="300" verticalDpi="300"/>
  <headerFooter>
    <oddHeader>&amp;L&amp;"Arial,Bold"МБОУ СОШ № 1 г. Краснодара&amp;C&amp;"Arial,Bold"&amp;BПлан работы образовательного учреждения&amp;RДата: &amp;D</oddHeader>
    <oddFooter>&amp;LМБОУ СОШ № 1 г. Краснодара&amp;RСтраница &amp;P из &amp;N</oddFooter>
    <evenHeader/>
    <evenFooter/>
    <firstHeader/>
    <firstFooter/>
  </headerFooter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>
          <x14:colorSeries theme="4"/>
          <x14:sparklines>
            <x14:sparkline>
              <xm:f>'БД - Задание 2'!B50:M50</xm:f>
              <xm:sqref>O50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>
  <sheetPr>
    <tabColor rgb="00243B53"/>
    <outlinePr summaryBelow="1" summaryRight="1"/>
    <pageSetUpPr fitToPage="1"/>
  </sheetPr>
  <dimension ref="A1:F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1" customWidth="1" min="1" max="1"/>
    <col width="21" customWidth="1" min="2" max="2"/>
    <col width="20" customWidth="1" min="3" max="3"/>
    <col width="27" customWidth="1" min="4" max="4"/>
    <col width="20" customWidth="1" min="5" max="5"/>
    <col width="24" customWidth="1" min="6" max="6"/>
  </cols>
  <sheetData>
    <row r="1" ht="34" customHeight="1">
      <c r="A1" s="40" t="inlineStr">
        <is>
          <t>ОТЧЁТ О ПЛАНЕ РАБОТЫ ОБРАЗОВАТЕЛЬНОГО УЧРЕЖДЕНИЯ</t>
        </is>
      </c>
    </row>
    <row r="2">
      <c r="A2" s="41" t="inlineStr">
        <is>
          <t>МБОУ СОШ № 1 г. Краснодара</t>
        </is>
      </c>
    </row>
    <row r="4">
      <c r="A4" s="41" t="inlineStr">
        <is>
          <t>Дата подготовки:</t>
        </is>
      </c>
      <c r="B4" s="42">
        <f>TODAY()</f>
        <v/>
      </c>
      <c r="D4" s="41" t="inlineStr">
        <is>
          <t>Ответственный:</t>
        </is>
      </c>
      <c r="E4" t="inlineStr">
        <is>
          <t>Гулевич Эмилия</t>
        </is>
      </c>
    </row>
    <row r="6">
      <c r="A6" s="29" t="inlineStr">
        <is>
          <t>Всего мероприятий</t>
        </is>
      </c>
      <c r="B6" s="29">
        <f>COUNTA('БД - Задание 2'!$A$5:$A$42)</f>
        <v/>
      </c>
      <c r="C6" s="29" t="inlineStr">
        <is>
          <t>Завершено</t>
        </is>
      </c>
      <c r="D6" s="29">
        <f>COUNTIF('БД - Задание 2'!$I$5:$I$42,"Завершено")</f>
        <v/>
      </c>
      <c r="E6" s="29" t="inlineStr">
        <is>
          <t>Запланировано / скоро</t>
        </is>
      </c>
      <c r="F6" s="29">
        <f>COUNTIF('БД - Задание 2'!$I$5:$I$42,"Запланировано")+COUNTIF('БД - Задание 2'!$I$5:$I$42,"Скоро")</f>
        <v/>
      </c>
    </row>
    <row r="7">
      <c r="A7" s="30" t="inlineStr">
        <is>
          <t>Показатель</t>
        </is>
      </c>
      <c r="B7" s="30">
        <f>COUNTA('БД - Задание 2'!$A$5:$A$42)</f>
        <v/>
      </c>
      <c r="C7" s="30" t="inlineStr">
        <is>
          <t>Завершено</t>
        </is>
      </c>
      <c r="D7" s="30">
        <f>COUNTIF('БД - Задание 2'!$I$5:$I$42,"Завершено")</f>
        <v/>
      </c>
      <c r="E7" s="30" t="inlineStr">
        <is>
          <t>В планах</t>
        </is>
      </c>
      <c r="F7" s="30">
        <f>COUNTIF('БД - Задание 2'!$I$5:$I$42,"Запланировано")+COUNTIF('БД - Задание 2'!$I$5:$I$42,"Скоро")</f>
        <v/>
      </c>
    </row>
    <row r="9">
      <c r="A9" s="40" t="inlineStr">
        <is>
          <t>По типам мероприятий</t>
        </is>
      </c>
      <c r="D9" s="40" t="inlineStr">
        <is>
          <t>По ответственным</t>
        </is>
      </c>
    </row>
    <row r="10">
      <c r="A10" s="29" t="inlineStr">
        <is>
          <t>Тип мероприятия</t>
        </is>
      </c>
      <c r="B10" s="29" t="inlineStr">
        <is>
          <t>Количество</t>
        </is>
      </c>
      <c r="D10" s="29" t="inlineStr">
        <is>
          <t>Ответственный</t>
        </is>
      </c>
      <c r="E10" s="29" t="inlineStr">
        <is>
          <t>Количество</t>
        </is>
      </c>
    </row>
    <row r="11">
      <c r="A11" s="31" t="inlineStr">
        <is>
          <t>Воспитательная работа</t>
        </is>
      </c>
      <c r="B11" s="30">
        <f>COUNTIF('БД - Задание 2'!$B$5:$B$42,A11)</f>
        <v/>
      </c>
      <c r="D11" s="31" t="inlineStr">
        <is>
          <t>Александров А. А.</t>
        </is>
      </c>
      <c r="E11" s="30">
        <f>COUNTIF('БД - Задание 2'!$F$5:$F$42,D11)</f>
        <v/>
      </c>
    </row>
    <row r="12">
      <c r="A12" s="31" t="inlineStr">
        <is>
          <t>ЕГЭ</t>
        </is>
      </c>
      <c r="B12" s="30">
        <f>COUNTIF('БД - Задание 2'!$B$5:$B$42,A12)</f>
        <v/>
      </c>
      <c r="D12" s="31" t="inlineStr">
        <is>
          <t>Иванова Е. Н.</t>
        </is>
      </c>
      <c r="E12" s="30">
        <f>COUNTIF('БД - Задание 2'!$F$5:$F$42,D12)</f>
        <v/>
      </c>
    </row>
    <row r="13">
      <c r="A13" s="31" t="inlineStr">
        <is>
          <t>Кубановедение</t>
        </is>
      </c>
      <c r="B13" s="30">
        <f>COUNTIF('БД - Задание 2'!$B$5:$B$42,A13)</f>
        <v/>
      </c>
      <c r="D13" s="31" t="inlineStr">
        <is>
          <t>Кузнецова О. Л.</t>
        </is>
      </c>
      <c r="E13" s="30">
        <f>COUNTIF('БД - Задание 2'!$F$5:$F$42,D13)</f>
        <v/>
      </c>
    </row>
    <row r="14">
      <c r="A14" s="31" t="inlineStr">
        <is>
          <t>Культура</t>
        </is>
      </c>
      <c r="B14" s="30">
        <f>COUNTIF('БД - Задание 2'!$B$5:$B$42,A14)</f>
        <v/>
      </c>
      <c r="D14" s="31" t="inlineStr">
        <is>
          <t>Петрова И. С.</t>
        </is>
      </c>
      <c r="E14" s="30">
        <f>COUNTIF('БД - Задание 2'!$F$5:$F$42,D14)</f>
        <v/>
      </c>
    </row>
    <row r="15">
      <c r="A15" s="31" t="inlineStr">
        <is>
          <t>Нормативы</t>
        </is>
      </c>
      <c r="B15" s="30">
        <f>COUNTIF('БД - Задание 2'!$B$5:$B$42,A15)</f>
        <v/>
      </c>
      <c r="D15" s="31" t="inlineStr">
        <is>
          <t>Сидоров В. П.</t>
        </is>
      </c>
      <c r="E15" s="30">
        <f>COUNTIF('БД - Задание 2'!$F$5:$F$42,D15)</f>
        <v/>
      </c>
    </row>
    <row r="16">
      <c r="A16" s="31" t="inlineStr">
        <is>
          <t>Олимпиада</t>
        </is>
      </c>
      <c r="B16" s="30">
        <f>COUNTIF('БД - Задание 2'!$B$5:$B$42,A16)</f>
        <v/>
      </c>
      <c r="D16" s="31" t="inlineStr">
        <is>
          <t>Смирнов Д. А.</t>
        </is>
      </c>
      <c r="E16" s="30">
        <f>COUNTIF('БД - Задание 2'!$F$5:$F$42,D16)</f>
        <v/>
      </c>
    </row>
    <row r="17">
      <c r="A17" s="31" t="inlineStr">
        <is>
          <t>Профориентация</t>
        </is>
      </c>
      <c r="B17" s="30">
        <f>COUNTIF('БД - Задание 2'!$B$5:$B$42,A17)</f>
        <v/>
      </c>
    </row>
    <row r="18">
      <c r="A18" s="31" t="inlineStr">
        <is>
          <t>Родительское собрание</t>
        </is>
      </c>
      <c r="B18" s="30">
        <f>COUNTIF('БД - Задание 2'!$B$5:$B$42,A18)</f>
        <v/>
      </c>
    </row>
    <row r="19">
      <c r="A19" s="31" t="inlineStr">
        <is>
          <t>Спорт</t>
        </is>
      </c>
      <c r="B19" s="30">
        <f>COUNTIF('БД - Задание 2'!$B$5:$B$42,A19)</f>
        <v/>
      </c>
    </row>
    <row r="27">
      <c r="A27" s="29" t="inlineStr">
        <is>
          <t>Месяц</t>
        </is>
      </c>
      <c r="B27" s="29" t="inlineStr">
        <is>
          <t>Количество мероприятий</t>
        </is>
      </c>
    </row>
    <row r="28">
      <c r="A28" s="31" t="inlineStr">
        <is>
          <t>Янв</t>
        </is>
      </c>
      <c r="B28" s="30">
        <f>COUNTIFS('БД - Задание 2'!$D$5:$D$42,"&gt;="&amp;DATE(2026,1,1),'БД - Задание 2'!$D$5:$D$42,"&lt;"&amp;DATE(2026,2,1))</f>
        <v/>
      </c>
    </row>
    <row r="29">
      <c r="A29" s="31" t="inlineStr">
        <is>
          <t>Фев</t>
        </is>
      </c>
      <c r="B29" s="30">
        <f>COUNTIFS('БД - Задание 2'!$D$5:$D$42,"&gt;="&amp;DATE(2026,2,1),'БД - Задание 2'!$D$5:$D$42,"&lt;"&amp;DATE(2026,3,1))</f>
        <v/>
      </c>
    </row>
    <row r="30">
      <c r="A30" s="31" t="inlineStr">
        <is>
          <t>Мар</t>
        </is>
      </c>
      <c r="B30" s="30">
        <f>COUNTIFS('БД - Задание 2'!$D$5:$D$42,"&gt;="&amp;DATE(2026,3,1),'БД - Задание 2'!$D$5:$D$42,"&lt;"&amp;DATE(2026,4,1))</f>
        <v/>
      </c>
    </row>
    <row r="31">
      <c r="A31" s="31" t="inlineStr">
        <is>
          <t>Апр</t>
        </is>
      </c>
      <c r="B31" s="30">
        <f>COUNTIFS('БД - Задание 2'!$D$5:$D$42,"&gt;="&amp;DATE(2026,4,1),'БД - Задание 2'!$D$5:$D$42,"&lt;"&amp;DATE(2026,5,1))</f>
        <v/>
      </c>
    </row>
    <row r="32">
      <c r="A32" s="31" t="inlineStr">
        <is>
          <t>Май</t>
        </is>
      </c>
      <c r="B32" s="30">
        <f>COUNTIFS('БД - Задание 2'!$D$5:$D$42,"&gt;="&amp;DATE(2026,5,1),'БД - Задание 2'!$D$5:$D$42,"&lt;"&amp;DATE(2026,6,1))</f>
        <v/>
      </c>
    </row>
    <row r="33">
      <c r="A33" s="31" t="inlineStr">
        <is>
          <t>Июн</t>
        </is>
      </c>
      <c r="B33" s="30">
        <f>COUNTIFS('БД - Задание 2'!$D$5:$D$42,"&gt;="&amp;DATE(2026,6,1),'БД - Задание 2'!$D$5:$D$42,"&lt;"&amp;DATE(2026,7,1))</f>
        <v/>
      </c>
    </row>
    <row r="34">
      <c r="A34" s="31" t="inlineStr">
        <is>
          <t>Июл</t>
        </is>
      </c>
      <c r="B34" s="30">
        <f>COUNTIFS('БД - Задание 2'!$D$5:$D$42,"&gt;="&amp;DATE(2026,7,1),'БД - Задание 2'!$D$5:$D$42,"&lt;"&amp;DATE(2026,8,1))</f>
        <v/>
      </c>
    </row>
    <row r="35">
      <c r="A35" s="31" t="inlineStr">
        <is>
          <t>Авг</t>
        </is>
      </c>
      <c r="B35" s="30">
        <f>COUNTIFS('БД - Задание 2'!$D$5:$D$42,"&gt;="&amp;DATE(2026,8,1),'БД - Задание 2'!$D$5:$D$42,"&lt;"&amp;DATE(2026,9,1))</f>
        <v/>
      </c>
    </row>
    <row r="36">
      <c r="A36" s="31" t="inlineStr">
        <is>
          <t>Сен</t>
        </is>
      </c>
      <c r="B36" s="30">
        <f>COUNTIFS('БД - Задание 2'!$D$5:$D$42,"&gt;="&amp;DATE(2026,9,1),'БД - Задание 2'!$D$5:$D$42,"&lt;"&amp;DATE(2026,10,1))</f>
        <v/>
      </c>
    </row>
    <row r="37">
      <c r="A37" s="31" t="inlineStr">
        <is>
          <t>Окт</t>
        </is>
      </c>
      <c r="B37" s="30">
        <f>COUNTIFS('БД - Задание 2'!$D$5:$D$42,"&gt;="&amp;DATE(2026,10,1),'БД - Задание 2'!$D$5:$D$42,"&lt;"&amp;DATE(2026,11,1))</f>
        <v/>
      </c>
    </row>
    <row r="38">
      <c r="A38" s="31" t="inlineStr">
        <is>
          <t>Ноя</t>
        </is>
      </c>
      <c r="B38" s="30">
        <f>COUNTIFS('БД - Задание 2'!$D$5:$D$42,"&gt;="&amp;DATE(2026,11,1),'БД - Задание 2'!$D$5:$D$42,"&lt;"&amp;DATE(2026,12,1))</f>
        <v/>
      </c>
    </row>
    <row r="39">
      <c r="A39" s="31" t="inlineStr">
        <is>
          <t>Дек</t>
        </is>
      </c>
      <c r="B39" s="30">
        <f>COUNTIFS('БД - Задание 2'!$D$5:$D$42,"&gt;="&amp;DATE(2026,12,1),'БД - Задание 2'!$D$5:$D$42,"&lt;"&amp;DATE(2026,13,1))</f>
        <v/>
      </c>
    </row>
  </sheetData>
  <mergeCells count="4">
    <mergeCell ref="A9:B9"/>
    <mergeCell ref="A2:F2"/>
    <mergeCell ref="D9:E9"/>
    <mergeCell ref="A1:F1"/>
  </mergeCells>
  <pageMargins left="0.3" right="0.3" top="0.5" bottom="0.5" header="0.2" footer="0.2"/>
  <pageSetup orientation="landscape" paperSize="9" fitToHeight="1" fitToWidth="1"/>
  <headerFooter>
    <oddHeader/>
    <oddFooter>&amp;LМБОУ СОШ № 1 г. Краснодара&amp;RСтраница &amp;P из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243B53"/>
    <outlinePr summaryBelow="1" summaryRight="1"/>
    <pageSetUpPr fitToPage="1"/>
  </sheetPr>
  <dimension ref="A1:D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9" customWidth="1" min="2" max="2"/>
    <col width="38" customWidth="1" min="3" max="3"/>
    <col width="39" customWidth="1" min="4" max="4"/>
  </cols>
  <sheetData>
    <row r="1">
      <c r="A1" s="40" t="inlineStr">
        <is>
          <t>ПРИМЕРЫ СОРТИРОВКИ И ФИЛЬТРАЦИИ</t>
        </is>
      </c>
    </row>
    <row r="3">
      <c r="A3" s="29" t="inlineStr">
        <is>
          <t>Задача</t>
        </is>
      </c>
      <c r="B3" s="29" t="inlineStr">
        <is>
          <t>Как выполнить</t>
        </is>
      </c>
      <c r="C3" s="29" t="inlineStr">
        <is>
          <t>Пример условия</t>
        </is>
      </c>
      <c r="D3" s="29" t="inlineStr">
        <is>
          <t>Ожидаемый результат</t>
        </is>
      </c>
    </row>
    <row r="4" ht="48" customHeight="1">
      <c r="A4" s="31" t="inlineStr">
        <is>
          <t>Найти мероприятия определённого типа</t>
        </is>
      </c>
      <c r="B4" s="31" t="inlineStr">
        <is>
          <t>Включить фильтр в строке заголовков и выбрать нужный тип</t>
        </is>
      </c>
      <c r="C4" s="31" t="inlineStr">
        <is>
          <t>Тип мероприятия = «ЕГЭ»</t>
        </is>
      </c>
      <c r="D4" s="31" t="inlineStr">
        <is>
          <t>Останутся мероприятия ЕГЭ</t>
        </is>
      </c>
    </row>
    <row r="5" ht="48" customHeight="1">
      <c r="A5" s="31" t="inlineStr">
        <is>
          <t>Найти мероприятия конкретного ответственного</t>
        </is>
      </c>
      <c r="B5" s="31" t="inlineStr">
        <is>
          <t>В фильтре столбца «Ответственный (ФИО)» выбрать фамилию</t>
        </is>
      </c>
      <c r="C5" s="31" t="inlineStr">
        <is>
          <t>Смирнов Д. А.</t>
        </is>
      </c>
      <c r="D5" s="31" t="inlineStr">
        <is>
          <t>Показываются только его мероприятия</t>
        </is>
      </c>
    </row>
    <row r="6" ht="48" customHeight="1">
      <c r="A6" s="31" t="inlineStr">
        <is>
          <t>Сначала ранние даты</t>
        </is>
      </c>
      <c r="B6" s="31" t="inlineStr">
        <is>
          <t>Сортировка по столбцу «Начало» от старых к новым</t>
        </is>
      </c>
      <c r="C6" s="31" t="inlineStr">
        <is>
          <t>По возрастанию</t>
        </is>
      </c>
      <c r="D6" s="31" t="inlineStr">
        <is>
          <t>Календарный порядок мероприятий</t>
        </is>
      </c>
    </row>
    <row r="7" ht="48" customHeight="1">
      <c r="A7" s="31" t="inlineStr">
        <is>
          <t>Использовать расширенный фильтр</t>
        </is>
      </c>
      <c r="B7" s="31" t="inlineStr">
        <is>
          <t>Скопировать заголовки в область критериев и задать условие в строке ниже</t>
        </is>
      </c>
      <c r="C7" s="31" t="inlineStr">
        <is>
          <t>Тип = Профориентация; Начало &gt;= 01.10.2026</t>
        </is>
      </c>
      <c r="D7" s="31" t="inlineStr">
        <is>
          <t>Подходящие записи выводятся по критериям</t>
        </is>
      </c>
    </row>
    <row r="8" ht="48" customHeight="1">
      <c r="A8" s="31" t="inlineStr">
        <is>
          <t>Найти ближайшие мероприятия</t>
        </is>
      </c>
      <c r="B8" s="31" t="inlineStr">
        <is>
          <t>Использовать статус и условное форматирование</t>
        </is>
      </c>
      <c r="C8" s="31" t="inlineStr">
        <is>
          <t>Статус = «Скоро»</t>
        </is>
      </c>
      <c r="D8" s="31" t="inlineStr">
        <is>
          <t>В ближайшие 3 дня выделяются жёлтым</t>
        </is>
      </c>
    </row>
  </sheetData>
  <mergeCells count="1">
    <mergeCell ref="A1:D1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tabColor rgb="00243B53"/>
    <outlinePr summaryBelow="1" summaryRight="1"/>
    <pageSetUpPr fitToPage="1"/>
  </sheetPr>
  <dimension ref="A1:D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56" customWidth="1" min="2" max="2"/>
    <col width="36" customWidth="1" min="3" max="3"/>
    <col width="32" customWidth="1" min="4" max="4"/>
  </cols>
  <sheetData>
    <row r="1">
      <c r="A1" s="40" t="inlineStr">
        <is>
          <t>МЕТОДИЧЕСКАЯ РАЗРАБОТКА</t>
        </is>
      </c>
    </row>
    <row r="2">
      <c r="A2" s="41" t="inlineStr">
        <is>
          <t>Тема: создание и анализ базы данных в MS Excel на примере плана работы школы</t>
        </is>
      </c>
    </row>
    <row r="4">
      <c r="A4" s="29" t="inlineStr">
        <is>
          <t>Этап</t>
        </is>
      </c>
      <c r="B4" s="29" t="inlineStr">
        <is>
          <t>Содержание</t>
        </is>
      </c>
      <c r="C4" s="29" t="inlineStr">
        <is>
          <t>Инструменты Excel</t>
        </is>
      </c>
      <c r="D4" s="29" t="inlineStr">
        <is>
          <t>Результат</t>
        </is>
      </c>
    </row>
    <row r="5" ht="60" customHeight="1">
      <c r="A5" s="31" t="inlineStr">
        <is>
          <t>1. Структура БД</t>
        </is>
      </c>
      <c r="B5" s="31" t="inlineStr">
        <is>
          <t>Каждая строка содержит одно мероприятие, каждый столбец — отдельное поле. Заголовки уникальны.</t>
        </is>
      </c>
      <c r="C5" s="31" t="inlineStr">
        <is>
          <t>Табличная структура, формат даты и текста</t>
        </is>
      </c>
      <c r="D5" s="31" t="inlineStr">
        <is>
          <t>Единая таблица с 38 записями</t>
        </is>
      </c>
    </row>
    <row r="6" ht="60" customHeight="1">
      <c r="A6" s="31" t="inlineStr">
        <is>
          <t>2. Сортировка и фильтрация</t>
        </is>
      </c>
      <c r="B6" s="31" t="inlineStr">
        <is>
          <t>Использовать автофильтр, сортировку по датам и фильтр по ответственному или типу.</t>
        </is>
      </c>
      <c r="C6" s="31" t="inlineStr">
        <is>
          <t>Данные → Фильтр / Сортировка</t>
        </is>
      </c>
      <c r="D6" s="31" t="inlineStr">
        <is>
          <t>Быстрый поиск записей</t>
        </is>
      </c>
    </row>
    <row r="7" ht="60" customHeight="1">
      <c r="A7" s="31" t="inlineStr">
        <is>
          <t>3. Расширенный фильтр</t>
        </is>
      </c>
      <c r="B7" s="31" t="inlineStr">
        <is>
          <t>Задать критерии в отдельном диапазоне с теми же заголовками, что и в базе.</t>
        </is>
      </c>
      <c r="C7" s="31" t="inlineStr">
        <is>
          <t>Данные → Дополнительно</t>
        </is>
      </c>
      <c r="D7" s="31" t="inlineStr">
        <is>
          <t>Выборка по нескольким условиям</t>
        </is>
      </c>
    </row>
    <row r="8" ht="60" customHeight="1">
      <c r="A8" s="31" t="inlineStr">
        <is>
          <t>4. Статусы и подсветка</t>
        </is>
      </c>
      <c r="B8" s="31" t="inlineStr">
        <is>
          <t>Статус рассчитывается по датам; завершённые события отмечаются красным, ближайшие 0–3 дня — жёлтым.</t>
        </is>
      </c>
      <c r="C8" s="31" t="inlineStr">
        <is>
          <t>ЕСЛИ, СЕГОДНЯ, условное форматирование</t>
        </is>
      </c>
      <c r="D8" s="31" t="inlineStr">
        <is>
          <t>Визуальный контроль сроков</t>
        </is>
      </c>
    </row>
    <row r="9" ht="60" customHeight="1">
      <c r="A9" s="31" t="inlineStr">
        <is>
          <t>5. Аналитика</t>
        </is>
      </c>
      <c r="B9" s="31" t="inlineStr">
        <is>
          <t>Подсчитать число мероприятий по типам, ответственным и месяцам.</t>
        </is>
      </c>
      <c r="C9" s="31" t="inlineStr">
        <is>
          <t>СЧЁТЕСЛИ, СЧЁТЕСЛИМН</t>
        </is>
      </c>
      <c r="D9" s="31" t="inlineStr">
        <is>
          <t>Сводный отчёт для руководства</t>
        </is>
      </c>
    </row>
    <row r="10" ht="60" customHeight="1">
      <c r="A10" s="31" t="inlineStr">
        <is>
          <t>6. Визуализация</t>
        </is>
      </c>
      <c r="B10" s="31" t="inlineStr">
        <is>
          <t>Мини-график показывает месячную динамику количества мероприятий.</t>
        </is>
      </c>
      <c r="C10" s="31" t="inlineStr">
        <is>
          <t>Спарклайн / мини-диаграмма</t>
        </is>
      </c>
      <c r="D10" s="31" t="inlineStr">
        <is>
          <t>Компактное представление динамики</t>
        </is>
      </c>
    </row>
    <row r="11" ht="60" customHeight="1">
      <c r="A11" s="31" t="inlineStr">
        <is>
          <t>7. Печать</t>
        </is>
      </c>
      <c r="B11" s="31" t="inlineStr">
        <is>
          <t>Задать область печати, повторять строку заголовков и включить колонтитулы.</t>
        </is>
      </c>
      <c r="C11" s="31" t="inlineStr">
        <is>
          <t>Разметка страницы → Печать заголовков</t>
        </is>
      </c>
      <c r="D11" s="31" t="inlineStr">
        <is>
          <t>Удобная бумажная копия отчёта</t>
        </is>
      </c>
    </row>
    <row r="14">
      <c r="A14" s="40" t="inlineStr">
        <is>
          <t>Использование ИИ</t>
        </is>
      </c>
    </row>
    <row r="15">
      <c r="A15" s="43" t="inlineStr">
        <is>
          <t>ИИ использовался как помощник для структурирования полей, подготовки примеров фильтрации и проверки формул. Итоговые данные и оформление следует проверить самостоятельно перед сдачей.</t>
        </is>
      </c>
    </row>
    <row r="16"/>
  </sheetData>
  <mergeCells count="4">
    <mergeCell ref="A1:D1"/>
    <mergeCell ref="A14:D14"/>
    <mergeCell ref="A15:D16"/>
    <mergeCell ref="A2:D2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tabColor rgb="00243B53"/>
    <outlinePr summaryBelow="1" summaryRight="1"/>
    <pageSetUpPr fitToPage="1"/>
  </sheetPr>
  <dimension ref="A1:C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" customWidth="1" min="1" max="1"/>
    <col width="25" customWidth="1" min="2" max="2"/>
    <col width="34" customWidth="1" min="3" max="3"/>
  </cols>
  <sheetData>
    <row r="1">
      <c r="A1" s="40" t="inlineStr">
        <is>
          <t>Справочники для выпадающих списков</t>
        </is>
      </c>
    </row>
    <row r="3">
      <c r="A3" s="29" t="inlineStr">
        <is>
          <t>Тип мероприятия</t>
        </is>
      </c>
      <c r="B3" s="29" t="inlineStr">
        <is>
          <t>Ответственный</t>
        </is>
      </c>
      <c r="C3" s="29" t="inlineStr">
        <is>
          <t>Место проведения</t>
        </is>
      </c>
    </row>
    <row r="4">
      <c r="A4" s="31" t="inlineStr">
        <is>
          <t>Воспитательная работа</t>
        </is>
      </c>
      <c r="B4" s="31" t="inlineStr">
        <is>
          <t>Александров А. А.</t>
        </is>
      </c>
      <c r="C4" s="31" t="inlineStr">
        <is>
          <t>Актовый зал</t>
        </is>
      </c>
    </row>
    <row r="5">
      <c r="A5" s="31" t="inlineStr">
        <is>
          <t>ЕГЭ</t>
        </is>
      </c>
      <c r="B5" s="31" t="inlineStr">
        <is>
          <t>Иванова Е. Н.</t>
        </is>
      </c>
      <c r="C5" s="31" t="inlineStr">
        <is>
          <t>Гимназия № 3</t>
        </is>
      </c>
    </row>
    <row r="6">
      <c r="A6" s="31" t="inlineStr">
        <is>
          <t>Кубановедение</t>
        </is>
      </c>
      <c r="B6" s="31" t="inlineStr">
        <is>
          <t>Кузнецова О. Л.</t>
        </is>
      </c>
      <c r="C6" s="31" t="inlineStr">
        <is>
          <t>Кабинет 101</t>
        </is>
      </c>
    </row>
    <row r="7">
      <c r="A7" s="31" t="inlineStr">
        <is>
          <t>Культура</t>
        </is>
      </c>
      <c r="B7" s="31" t="inlineStr">
        <is>
          <t>Петрова И. С.</t>
        </is>
      </c>
      <c r="C7" s="31" t="inlineStr">
        <is>
          <t>Кабинет 105</t>
        </is>
      </c>
    </row>
    <row r="8">
      <c r="A8" s="31" t="inlineStr">
        <is>
          <t>Нормативы</t>
        </is>
      </c>
      <c r="B8" s="31" t="inlineStr">
        <is>
          <t>Сидоров В. П.</t>
        </is>
      </c>
      <c r="C8" s="31" t="inlineStr">
        <is>
          <t>Кабинет 204</t>
        </is>
      </c>
    </row>
    <row r="9">
      <c r="A9" s="31" t="inlineStr">
        <is>
          <t>Олимпиада</t>
        </is>
      </c>
      <c r="B9" s="31" t="inlineStr">
        <is>
          <t>Смирнов Д. А.</t>
        </is>
      </c>
      <c r="C9" s="31" t="inlineStr">
        <is>
          <t>Кабинет 212</t>
        </is>
      </c>
    </row>
    <row r="10">
      <c r="A10" s="31" t="inlineStr">
        <is>
          <t>Профориентация</t>
        </is>
      </c>
      <c r="C10" s="31" t="inlineStr">
        <is>
          <t>Кабинет 310</t>
        </is>
      </c>
    </row>
    <row r="11">
      <c r="A11" s="31" t="inlineStr">
        <is>
          <t>Родительское собрание</t>
        </is>
      </c>
      <c r="C11" s="31" t="inlineStr">
        <is>
          <t>Краеведческий музей</t>
        </is>
      </c>
    </row>
    <row r="12">
      <c r="A12" s="31" t="inlineStr">
        <is>
          <t>Спорт</t>
        </is>
      </c>
      <c r="C12" s="31" t="inlineStr">
        <is>
          <t>КубГУ</t>
        </is>
      </c>
    </row>
    <row r="13">
      <c r="C13" s="31" t="inlineStr">
        <is>
          <t>Предприятия города</t>
        </is>
      </c>
    </row>
    <row r="14">
      <c r="C14" s="31" t="inlineStr">
        <is>
          <t>Пункт проведения ЕГЭ № 12</t>
        </is>
      </c>
    </row>
    <row r="15">
      <c r="C15" s="31" t="inlineStr">
        <is>
          <t>Спортзал школы</t>
        </is>
      </c>
    </row>
    <row r="16">
      <c r="C16" s="31" t="inlineStr">
        <is>
          <t>Стадион «Спартак»</t>
        </is>
      </c>
    </row>
    <row r="17">
      <c r="C17" s="31" t="inlineStr">
        <is>
          <t>Территория школы</t>
        </is>
      </c>
    </row>
    <row r="18">
      <c r="C18" s="31" t="inlineStr">
        <is>
          <t>Школьный двор</t>
        </is>
      </c>
    </row>
    <row r="19">
      <c r="C19" s="31" t="inlineStr">
        <is>
          <t>Школьный лагерь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43B53"/>
    <outlinePr summaryBelow="1" summaryRight="1"/>
    <pageSetUpPr fitToPage="1"/>
  </sheetPr>
  <dimension ref="A1:C15"/>
  <sheetViews>
    <sheetView showGridLines="0" zoomScaleNormal="100" workbookViewId="0">
      <pane ySplit="4" topLeftCell="A5" activePane="bottomLeft" state="frozen"/>
      <selection pane="bottomLeft" activeCell="E13" sqref="E13"/>
    </sheetView>
  </sheetViews>
  <sheetFormatPr baseColWidth="8" defaultColWidth="8.6640625" defaultRowHeight="14.4"/>
  <cols>
    <col width="7" customWidth="1" style="2" min="1" max="1"/>
    <col width="64" bestFit="1" customWidth="1" style="2" min="2" max="2"/>
    <col width="34" bestFit="1" customWidth="1" style="2" min="3" max="3"/>
    <col width="8.6640625" customWidth="1" style="2" min="4" max="16384"/>
  </cols>
  <sheetData>
    <row r="1" ht="17.25" customHeight="1">
      <c r="A1" s="20" t="inlineStr">
        <is>
          <t>РЕФЛЕКСИЯ</t>
        </is>
      </c>
      <c r="B1" s="24" t="n"/>
      <c r="C1" s="25" t="n"/>
    </row>
    <row r="4" ht="15" customHeight="1">
      <c r="A4" s="29" t="inlineStr">
        <is>
          <t>№</t>
        </is>
      </c>
      <c r="B4" s="29" t="inlineStr">
        <is>
          <t>Что нужно было знать / уметь</t>
        </is>
      </c>
      <c r="C4" s="29" t="inlineStr">
        <is>
          <t>Знал(а) / Не знал(а) до этого</t>
        </is>
      </c>
    </row>
    <row r="5" ht="30" customHeight="1">
      <c r="A5" s="31" t="n">
        <v>1</v>
      </c>
      <c r="B5" s="31" t="inlineStr">
        <is>
          <t>Проектирование структуры БД в MS Excel (поля, типы данных)</t>
        </is>
      </c>
      <c r="C5" s="19" t="n"/>
    </row>
    <row r="6" ht="30" customHeight="1">
      <c r="A6" s="31" t="n">
        <v>2</v>
      </c>
      <c r="B6" s="31" t="inlineStr">
        <is>
          <t>Сортировка по одному и нескольким уровням</t>
        </is>
      </c>
      <c r="C6" s="18" t="n"/>
    </row>
    <row r="7" ht="30" customHeight="1">
      <c r="A7" s="31" t="n">
        <v>3</v>
      </c>
      <c r="B7" s="31" t="inlineStr">
        <is>
          <t>Автофильтр и пользовательский (расширенный) фильтр</t>
        </is>
      </c>
      <c r="C7" s="18" t="n"/>
    </row>
    <row r="8" ht="30" customHeight="1">
      <c r="A8" s="31" t="n">
        <v>4</v>
      </c>
      <c r="B8" s="31" t="inlineStr">
        <is>
          <t>Функция СЧЁТЕСЛИМН</t>
        </is>
      </c>
      <c r="C8" s="18" t="n"/>
    </row>
    <row r="9" ht="30" customHeight="1">
      <c r="A9" s="31" t="n">
        <v>5</v>
      </c>
      <c r="B9" s="31" t="inlineStr">
        <is>
          <t>Условное форматирование по формуле (сравнение дат с СЕГОДНЯ)</t>
        </is>
      </c>
      <c r="C9" s="19" t="n"/>
    </row>
    <row r="10" ht="30" customHeight="1">
      <c r="A10" s="31" t="n">
        <v>6</v>
      </c>
      <c r="B10" s="31" t="inlineStr">
        <is>
          <t>Настройка верхнего и нижнего колонтитула для печати</t>
        </is>
      </c>
      <c r="C10" s="19" t="n"/>
    </row>
    <row r="11" ht="30" customHeight="1">
      <c r="A11" s="31" t="n">
        <v>7</v>
      </c>
      <c r="B11" s="31" t="inlineStr">
        <is>
          <t>Настройка области печати и сквозных строк заголовка</t>
        </is>
      </c>
      <c r="C11" s="19" t="n"/>
    </row>
    <row r="12" ht="30" customHeight="1">
      <c r="A12" s="31" t="n">
        <v>8</v>
      </c>
      <c r="B12" s="31" t="inlineStr">
        <is>
          <t>Спарклайны для визуализации динамики мероприятий</t>
        </is>
      </c>
      <c r="C12" s="19" t="n"/>
    </row>
    <row r="13" ht="15" customHeight="1">
      <c r="A13" s="6" t="n">
        <v>9</v>
      </c>
      <c r="B13" s="7" t="inlineStr">
        <is>
          <t>Подготовка «твёрдой копии» отчёта для вышестоящих инстанций</t>
        </is>
      </c>
      <c r="C13" s="19" t="n"/>
    </row>
    <row r="15" ht="15" customHeight="1">
      <c r="A15" s="17" t="n"/>
    </row>
  </sheetData>
  <mergeCells count="1">
    <mergeCell ref="A1:C1"/>
  </mergeCells>
  <pageMargins left="0.75" right="0.75" top="1" bottom="1" header="0.511811023622047" footer="0.511811023622047"/>
  <pageSetup orientation="landscape" paperSize="9" fitToHeight="0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2026-10-02T10:54:12Z</dcterms:created>
  <dcterms:modified xmlns:dcterms="http://purl.org/dc/terms/" xmlns:xsi="http://www.w3.org/2001/XMLSchema-instance" xsi:type="dcterms:W3CDTF">2026-10-10T06:58:42Z</dcterms:modified>
  <cp:lastModifiedBy>User</cp:lastModifiedBy>
  <cp:revision>0</cp:revision>
  <cp:lastPrinted>2026-10-02T18:09:19Z</cp:lastPrinted>
</cp:coreProperties>
</file>